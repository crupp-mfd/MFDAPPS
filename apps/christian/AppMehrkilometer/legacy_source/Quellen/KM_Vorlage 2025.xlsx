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fdrailch-my.sharepoint.com/personal/crupp_mfdrail_ch/Documents/Desktop/Ablage/"/>
    </mc:Choice>
  </mc:AlternateContent>
  <xr:revisionPtr revIDLastSave="1217" documentId="8_{8BF8A1F2-C9D9-094E-AE2D-C972E86730FF}" xr6:coauthVersionLast="47" xr6:coauthVersionMax="47" xr10:uidLastSave="{53F9F0E4-95B8-9D4A-A0C5-B64451F126C9}"/>
  <bookViews>
    <workbookView xWindow="30320" yWindow="1600" windowWidth="38400" windowHeight="19360" xr2:uid="{1A2D256C-ADBD-F044-8866-45FC6E826342}"/>
  </bookViews>
  <sheets>
    <sheet name="2025" sheetId="1" r:id="rId1"/>
  </sheets>
  <externalReferences>
    <externalReference r:id="rId2"/>
  </externalReferences>
  <definedNames>
    <definedName name="_xlnm._FilterDatabase" localSheetId="0" hidden="1">'2025'!$A$1:$M$95</definedName>
    <definedName name="Country_Cluster">[1]Dropdowns!$C$2:$C$7</definedName>
    <definedName name="Wagon_Type">[1]Dropdowns!$B$2:$B$8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tc={D2D6FFFC-1986-FD43-BD38-1CA96B8FB6D9}</author>
  </authors>
  <commentList>
    <comment ref="D14" authorId="0" shapeId="0" xr:uid="{D2D6FFFC-1986-FD43-BD38-1CA96B8FB6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Korrektur aufgrund Rückgabe gem. Fleet Summary 3 Wg Juli =&gt; 88 statt alt 91 Wg
Antwort:
    + 8 Wg Okt. Rückgabe = 80
Antwort:
    +15 Rückgabe Jan = 65</t>
      </text>
    </comment>
  </commentList>
</comments>
</file>

<file path=xl/sharedStrings.xml><?xml version="1.0" encoding="utf-8"?>
<sst xmlns="http://schemas.openxmlformats.org/spreadsheetml/2006/main" count="592" uniqueCount="269">
  <si>
    <t>Atir Rail</t>
  </si>
  <si>
    <t>FR</t>
  </si>
  <si>
    <t>Sgns 60'</t>
  </si>
  <si>
    <t>2023-0006</t>
  </si>
  <si>
    <t>Captrain Cargo West DE</t>
  </si>
  <si>
    <t>DE</t>
  </si>
  <si>
    <t>Sgmmns 40'</t>
  </si>
  <si>
    <t>2022-0010</t>
  </si>
  <si>
    <t>Captrain PL</t>
  </si>
  <si>
    <t>PL</t>
  </si>
  <si>
    <t>2024-0001</t>
  </si>
  <si>
    <t>CargoBeamer</t>
  </si>
  <si>
    <t>DPW</t>
  </si>
  <si>
    <t>2021-0002</t>
  </si>
  <si>
    <t>2021-0034</t>
  </si>
  <si>
    <t>2022-0022</t>
  </si>
  <si>
    <t>Contargo Rail service GmbH</t>
  </si>
  <si>
    <t>Sggrs 80'-6</t>
  </si>
  <si>
    <t>2020-0003</t>
  </si>
  <si>
    <t>2020-0004</t>
  </si>
  <si>
    <t>2021-0013</t>
  </si>
  <si>
    <t>2021-0014</t>
  </si>
  <si>
    <t>2021-0015</t>
  </si>
  <si>
    <t>2021-0016</t>
  </si>
  <si>
    <t>2022-0007</t>
  </si>
  <si>
    <t>2022-0008</t>
  </si>
  <si>
    <t>Contargo Rail service GmbH (ersetzt 2023-0017)</t>
  </si>
  <si>
    <t>2023-0018</t>
  </si>
  <si>
    <t>Sggmrs 90'</t>
  </si>
  <si>
    <t>2023-0024</t>
  </si>
  <si>
    <t>2023-0025</t>
  </si>
  <si>
    <t>CFL</t>
  </si>
  <si>
    <t>LU</t>
  </si>
  <si>
    <t>2023-0028</t>
  </si>
  <si>
    <t>CTL Logistics</t>
  </si>
  <si>
    <t>2022-0025</t>
  </si>
  <si>
    <t>DB Cargo AG</t>
  </si>
  <si>
    <t>2020-0006</t>
  </si>
  <si>
    <t>2021-2420</t>
  </si>
  <si>
    <t>Sggns 80'-4</t>
  </si>
  <si>
    <t>Duisport Agency GmbH</t>
  </si>
  <si>
    <t>2023-0002</t>
  </si>
  <si>
    <t>EWG</t>
  </si>
  <si>
    <t>HU</t>
  </si>
  <si>
    <t>2023-0008</t>
  </si>
  <si>
    <t>2023-0007</t>
  </si>
  <si>
    <t>2023-0026</t>
  </si>
  <si>
    <t>Grain Logistic</t>
  </si>
  <si>
    <t>2023-0035</t>
  </si>
  <si>
    <t>GTS</t>
  </si>
  <si>
    <t>IT</t>
  </si>
  <si>
    <t>Hupac Intermodal SA</t>
  </si>
  <si>
    <t>CH</t>
  </si>
  <si>
    <t>2021-0007</t>
  </si>
  <si>
    <t>LAUDE Smart Intermodal</t>
  </si>
  <si>
    <t>2022-0005</t>
  </si>
  <si>
    <t>2023-0012</t>
  </si>
  <si>
    <t>2023-0033-1</t>
  </si>
  <si>
    <t>LION Logistics</t>
  </si>
  <si>
    <t>2022-0004</t>
  </si>
  <si>
    <t>2022-0021</t>
  </si>
  <si>
    <t>AT</t>
  </si>
  <si>
    <t>Mindener Kreisbahnen GmbH</t>
  </si>
  <si>
    <t>Necoss GmbH (EVB)</t>
  </si>
  <si>
    <t>2021-0021</t>
  </si>
  <si>
    <t>2023-0005</t>
  </si>
  <si>
    <t>2022-0006</t>
  </si>
  <si>
    <t>PCC Intermodal S.A.</t>
  </si>
  <si>
    <t>2023-0016</t>
  </si>
  <si>
    <t>RCA</t>
  </si>
  <si>
    <t>2021-0035</t>
  </si>
  <si>
    <t>RheinCargo</t>
  </si>
  <si>
    <t>2021-0008</t>
  </si>
  <si>
    <t>2021-0011</t>
  </si>
  <si>
    <t>2022-0003</t>
  </si>
  <si>
    <t>RTB Cargo Nederland BV</t>
  </si>
  <si>
    <t>NL</t>
  </si>
  <si>
    <t>2020-0001</t>
  </si>
  <si>
    <t>2021-0026</t>
  </si>
  <si>
    <t>2021-0030</t>
  </si>
  <si>
    <t>2023-0023</t>
  </si>
  <si>
    <t>2023-0037</t>
  </si>
  <si>
    <t>Sangritana</t>
  </si>
  <si>
    <t>SBB Cargo</t>
  </si>
  <si>
    <t>2021-0032</t>
  </si>
  <si>
    <t>2022-0026</t>
  </si>
  <si>
    <t>WECO</t>
  </si>
  <si>
    <t>2023-0014</t>
  </si>
  <si>
    <t>2023-0015</t>
  </si>
  <si>
    <t>2023-0036</t>
  </si>
  <si>
    <t>Mehr-km</t>
  </si>
  <si>
    <t>Minder-km</t>
  </si>
  <si>
    <t>Flotte</t>
  </si>
  <si>
    <t>Wagen</t>
  </si>
  <si>
    <t>Vertrag</t>
  </si>
  <si>
    <t>vertr.km</t>
  </si>
  <si>
    <t>x</t>
  </si>
  <si>
    <t>0.939 Pro 10'000km</t>
  </si>
  <si>
    <t>1.424 pro 10'000km</t>
  </si>
  <si>
    <t>0.135 pro 10'000</t>
  </si>
  <si>
    <t>(bis 170'000 - wenn mehr als 170.000 0.052 ab 170'000)</t>
  </si>
  <si>
    <t>Kunde</t>
  </si>
  <si>
    <t xml:space="preserve"> </t>
  </si>
  <si>
    <t>1.424 pro 10'000</t>
  </si>
  <si>
    <t>MV</t>
  </si>
  <si>
    <t>MV M3</t>
  </si>
  <si>
    <t>V300003</t>
  </si>
  <si>
    <t>V300002</t>
  </si>
  <si>
    <t>V300012</t>
  </si>
  <si>
    <t>V300011</t>
  </si>
  <si>
    <t>V300010</t>
  </si>
  <si>
    <t>V300009</t>
  </si>
  <si>
    <t>V300017</t>
  </si>
  <si>
    <t>V300018</t>
  </si>
  <si>
    <t>V300041</t>
  </si>
  <si>
    <t>V300040</t>
  </si>
  <si>
    <t>V300038</t>
  </si>
  <si>
    <t>V200040</t>
  </si>
  <si>
    <t>2024-0021</t>
  </si>
  <si>
    <t>2024-0008</t>
  </si>
  <si>
    <t>2024-0044</t>
  </si>
  <si>
    <t>60'</t>
  </si>
  <si>
    <t>2024-0010</t>
  </si>
  <si>
    <t>2024-0025</t>
  </si>
  <si>
    <t>Agrolog</t>
  </si>
  <si>
    <t>BLS</t>
  </si>
  <si>
    <t>Captrain IT</t>
  </si>
  <si>
    <t>Grenland</t>
  </si>
  <si>
    <t>LTE</t>
  </si>
  <si>
    <t>Mars</t>
  </si>
  <si>
    <t>Naviland</t>
  </si>
  <si>
    <t>Pimk</t>
  </si>
  <si>
    <t>Thommen Furler</t>
  </si>
  <si>
    <t>ZIK</t>
  </si>
  <si>
    <t>2024-0022</t>
  </si>
  <si>
    <t>V100056</t>
  </si>
  <si>
    <t>2024-0024</t>
  </si>
  <si>
    <t>V300054</t>
  </si>
  <si>
    <t>2024-0003</t>
  </si>
  <si>
    <t>2024-0004</t>
  </si>
  <si>
    <t>NO</t>
  </si>
  <si>
    <t>2024-0009</t>
  </si>
  <si>
    <t>V100055</t>
  </si>
  <si>
    <t>2023-0040-2</t>
  </si>
  <si>
    <t>2024-0012</t>
  </si>
  <si>
    <t>V300044</t>
  </si>
  <si>
    <t>2024-0018</t>
  </si>
  <si>
    <t>V300048</t>
  </si>
  <si>
    <t>TR</t>
  </si>
  <si>
    <t>2024-0006</t>
  </si>
  <si>
    <t>V200038</t>
  </si>
  <si>
    <t>Sggrs 80-6</t>
  </si>
  <si>
    <t>2024-0027</t>
  </si>
  <si>
    <t>V300051</t>
  </si>
  <si>
    <t>2024-0034</t>
  </si>
  <si>
    <t>V200046</t>
  </si>
  <si>
    <t>2024-0032</t>
  </si>
  <si>
    <t>V200045</t>
  </si>
  <si>
    <t>2023-0021</t>
  </si>
  <si>
    <t>V200035</t>
  </si>
  <si>
    <t>V200036</t>
  </si>
  <si>
    <t>BLG</t>
  </si>
  <si>
    <t>V300029</t>
  </si>
  <si>
    <t>V100026 / V200042</t>
  </si>
  <si>
    <t>V200041</t>
  </si>
  <si>
    <t>V300059</t>
  </si>
  <si>
    <t>V200034</t>
  </si>
  <si>
    <t>2024-0035</t>
  </si>
  <si>
    <t>V200048</t>
  </si>
  <si>
    <t>0.06 (ohne Ferry)</t>
  </si>
  <si>
    <t>V100052</t>
  </si>
  <si>
    <t>V100053</t>
  </si>
  <si>
    <t>V300035</t>
  </si>
  <si>
    <t>V200020</t>
  </si>
  <si>
    <t>V100003</t>
  </si>
  <si>
    <t>V400005/V400008</t>
  </si>
  <si>
    <t>V300025/V300028</t>
  </si>
  <si>
    <t>V300030/V300032</t>
  </si>
  <si>
    <t>V300031</t>
  </si>
  <si>
    <t>V300034/V300052</t>
  </si>
  <si>
    <t>V100049</t>
  </si>
  <si>
    <t>V100023</t>
  </si>
  <si>
    <t>V100046</t>
  </si>
  <si>
    <t>V100051</t>
  </si>
  <si>
    <t>2023-0032</t>
  </si>
  <si>
    <t>V200033</t>
  </si>
  <si>
    <t>V200005</t>
  </si>
  <si>
    <t>V200043</t>
  </si>
  <si>
    <t>V300023</t>
  </si>
  <si>
    <t>V300026</t>
  </si>
  <si>
    <t>V100016</t>
  </si>
  <si>
    <t>V100015</t>
  </si>
  <si>
    <t>V100021</t>
  </si>
  <si>
    <t>2024-0020</t>
  </si>
  <si>
    <t>V100057</t>
  </si>
  <si>
    <t>V200003</t>
  </si>
  <si>
    <t>V200007</t>
  </si>
  <si>
    <t>V200016</t>
  </si>
  <si>
    <t>V200030</t>
  </si>
  <si>
    <t>V200032</t>
  </si>
  <si>
    <t>2023-0039</t>
  </si>
  <si>
    <t>V300043</t>
  </si>
  <si>
    <t>2024-0029</t>
  </si>
  <si>
    <t>V700011</t>
  </si>
  <si>
    <t>V200017/V200019</t>
  </si>
  <si>
    <t>V200021</t>
  </si>
  <si>
    <t>V200027/V300045</t>
  </si>
  <si>
    <t>V200028/29 / V300046</t>
  </si>
  <si>
    <t>V300055</t>
  </si>
  <si>
    <t>V200031</t>
  </si>
  <si>
    <t>V200044</t>
  </si>
  <si>
    <t>zigsXpress*</t>
  </si>
  <si>
    <t>zigsXpress: es wurde wieder eine GS gemacht - hier im Jan 26 von Vertragsanfang an berechnen</t>
  </si>
  <si>
    <r>
      <t>Oceanogate -</t>
    </r>
    <r>
      <rPr>
        <sz val="11"/>
        <color rgb="FFFF0000"/>
        <rFont val="Helvetica"/>
        <family val="2"/>
      </rPr>
      <t>Abgleichen mit Ihren Zahlen</t>
    </r>
  </si>
  <si>
    <r>
      <t xml:space="preserve">Oceanogate </t>
    </r>
    <r>
      <rPr>
        <sz val="11"/>
        <color rgb="FFFF0000"/>
        <rFont val="Helvetica"/>
        <family val="2"/>
      </rPr>
      <t>-Abgleichen mit Ihren Zahlen</t>
    </r>
  </si>
  <si>
    <t>Pauschal bereits abgerechnet / ab 1.1.26 140'000 (bereits geändert)</t>
  </si>
  <si>
    <t>V200025</t>
  </si>
  <si>
    <t>Mehr-Km_Vorlage 2025</t>
  </si>
  <si>
    <t>ALZA</t>
  </si>
  <si>
    <t>204-0042</t>
  </si>
  <si>
    <t>V200047</t>
  </si>
  <si>
    <t>2025-0009</t>
  </si>
  <si>
    <t>V200052</t>
  </si>
  <si>
    <t>V200002</t>
  </si>
  <si>
    <t>V200015</t>
  </si>
  <si>
    <t>V200024</t>
  </si>
  <si>
    <t>2025-0016</t>
  </si>
  <si>
    <t>V300077</t>
  </si>
  <si>
    <t>2025-0017</t>
  </si>
  <si>
    <t>V300076</t>
  </si>
  <si>
    <t>2025-0023</t>
  </si>
  <si>
    <t>V300075</t>
  </si>
  <si>
    <t>2025-0032</t>
  </si>
  <si>
    <t>V300085</t>
  </si>
  <si>
    <t>90'</t>
  </si>
  <si>
    <t>DTW</t>
  </si>
  <si>
    <t>80'</t>
  </si>
  <si>
    <t>V400001/V400006/400010</t>
  </si>
  <si>
    <t>2025-0013</t>
  </si>
  <si>
    <t>V300068</t>
  </si>
  <si>
    <t>GTS Rail</t>
  </si>
  <si>
    <t>2025-0019</t>
  </si>
  <si>
    <t>V300005</t>
  </si>
  <si>
    <t>V730005</t>
  </si>
  <si>
    <t>IPC Business</t>
  </si>
  <si>
    <t>2025-0018</t>
  </si>
  <si>
    <t>V300072</t>
  </si>
  <si>
    <t>Kombiverkehr</t>
  </si>
  <si>
    <t>2024-0036</t>
  </si>
  <si>
    <t>V300063</t>
  </si>
  <si>
    <t>V100024 /n V200058</t>
  </si>
  <si>
    <t>V100029 / V200059</t>
  </si>
  <si>
    <t>V300042 / V730004</t>
  </si>
  <si>
    <t>MT-Logistik</t>
  </si>
  <si>
    <t>2025-0003</t>
  </si>
  <si>
    <t>V300065</t>
  </si>
  <si>
    <t>2025-0002</t>
  </si>
  <si>
    <t>V300067</t>
  </si>
  <si>
    <t>2025-0004</t>
  </si>
  <si>
    <t>V730003</t>
  </si>
  <si>
    <t>2025-0029</t>
  </si>
  <si>
    <t>2025-0030</t>
  </si>
  <si>
    <t>V730009</t>
  </si>
  <si>
    <t>V300082</t>
  </si>
  <si>
    <t>Keine KM-Angaben in den Verträgen</t>
  </si>
  <si>
    <t>2025-0014</t>
  </si>
  <si>
    <t>V300080 / V730006</t>
  </si>
  <si>
    <t>2025-0015</t>
  </si>
  <si>
    <t>V300081 / V730007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</si>
</sst>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Helvetica"/>
      <family val="2"/>
    </font>
    <font>
      <sz val="11"/>
      <color rgb="FFFF0000"/>
      <name val="Helvetica"/>
      <family val="2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3" fillId="0" borderId="1" xfId="0" applyFont="1" applyBorder="1"/>
    <xf numFmtId="3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0" fillId="0" borderId="1" xfId="0" applyBorder="1"/>
    <xf numFmtId="4" fontId="2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/>
    <xf numFmtId="3" fontId="0" fillId="0" borderId="0" xfId="0" applyNumberFormat="1"/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0" xfId="0" applyFill="1" applyAlignment="1">
      <alignment horizontal="left"/>
    </xf>
    <xf numFmtId="0" fontId="0" fillId="2" borderId="0" xfId="0" applyFill="1"/>
    <xf numFmtId="0" fontId="2" fillId="3" borderId="1" xfId="1" applyFont="1" applyFill="1" applyBorder="1" applyAlignment="1">
      <alignment horizontal="left"/>
    </xf>
    <xf numFmtId="0" fontId="0" fillId="3" borderId="0" xfId="0" applyFill="1"/>
    <xf numFmtId="0" fontId="7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</cellXfs>
  <cellStyles count="2">
    <cellStyle name="Standard" xfId="0" builtinId="0"/>
    <cellStyle name="Standard 2 2" xfId="1" xr:uid="{DAB80F9D-B2B6-8048-9736-BC116DFCF6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sites/SALES/Freigegebene%20Dokumente/Sales%20Reporting/K12_K17_K18_K20_Contract%20Overview%20Sales%20-%20MIS%20Concentration%20Limits.xlsm" TargetMode="External"/><Relationship Id="rId2" Type="http://schemas.openxmlformats.org/officeDocument/2006/relationships/externalLinkPath" Target="https://mfdrailch.sharepoint.com/sites/SALES/Freigegebene%20Dokumente/Sales%20Reporting/K12_K17_K18_K20_Contract%20Overview%20Sales%20-%20MIS%20Concentration%20Limits.xlsm" TargetMode="External"/><Relationship Id="rId1" Type="http://schemas.openxmlformats.org/officeDocument/2006/relationships/externalLinkPath" Target="/sites/SALES/Freigegebene%20Dokumente/Sales%20Reporting/K12_K17_K18_K20_Contract%20Overview%20Sales%20-%20MIS%20Concentration%20Limi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OMMERZIELLE PERFORMANCE"/>
      <sheetName val="Customer Country Strategy"/>
      <sheetName val="Contract Overview SALES _ YIELD"/>
      <sheetName val="Pivot Contract Sales "/>
      <sheetName val="Pivot YIELD"/>
      <sheetName val="Pivot Kalk nCY Overview"/>
      <sheetName val="5 Concentration Limits"/>
      <sheetName val="Contract Overview SALES _ Y FST"/>
      <sheetName val="Pivot Agent"/>
      <sheetName val="CONTRACT_OVERVIEW_IN_USE"/>
      <sheetName val="Pivot Countries"/>
      <sheetName val="Dropdowns"/>
      <sheetName val="F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B2" t="str">
            <v>Sgmmns 40'</v>
          </cell>
          <cell r="C2" t="str">
            <v>East EU</v>
          </cell>
        </row>
        <row r="3">
          <cell r="B3" t="str">
            <v>Sgns 60'</v>
          </cell>
          <cell r="C3" t="str">
            <v>West EU</v>
          </cell>
        </row>
        <row r="4">
          <cell r="B4" t="str">
            <v>DPW</v>
          </cell>
          <cell r="C4" t="str">
            <v>Middle EU - C DBC</v>
          </cell>
        </row>
        <row r="5">
          <cell r="B5" t="str">
            <v>Sggrs 80'-6</v>
          </cell>
          <cell r="C5" t="str">
            <v>Middle Eu - D R 1</v>
          </cell>
        </row>
        <row r="6">
          <cell r="B6" t="str">
            <v>Sggmrs 90'</v>
          </cell>
          <cell r="C6" t="str">
            <v>Middle EU</v>
          </cell>
        </row>
        <row r="7">
          <cell r="B7" t="str">
            <v>Sggns 80'-4</v>
          </cell>
          <cell r="C7" t="str">
            <v>South EU</v>
          </cell>
        </row>
        <row r="8">
          <cell r="B8" t="str">
            <v>Sggmrrs-y</v>
          </cell>
        </row>
      </sheetData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dreas Zemp" id="{ACEC28A4-CD67-5D47-A67C-9574FCCEAB04}" userId="S::azemp@mfdrail.ch::a6e45181-744f-4925-b4d3-93dc01598b03" providerId="AD"/>
  <person displayName="Elena Monsorno" id="{3C05EAD5-A21C-8043-A987-A58DE94AE9B1}" userId="S::emonsorno@mfdrail.ch::12259aa0-d4fd-46cd-80bc-51df4723f00e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" dT="2023-08-15T18:51:12.77" personId="{ACEC28A4-CD67-5D47-A67C-9574FCCEAB04}" id="{D2D6FFFC-1986-FD43-BD38-1CA96B8FB6D9}">
    <text>Korrektur aufgrund Rückgabe gem. Fleet Summary 3 Wg Juli =&gt; 88 statt alt 91 Wg</text>
  </threadedComment>
  <threadedComment ref="D14" dT="2023-10-27T09:52:57.60" personId="{3C05EAD5-A21C-8043-A987-A58DE94AE9B1}" id="{0A469A9E-547C-194D-8053-E7C552103D33}" parentId="{D2D6FFFC-1986-FD43-BD38-1CA96B8FB6D9}">
    <text>+ 8 Wg Okt. Rückgabe = 80</text>
  </threadedComment>
  <threadedComment ref="D14" dT="2024-01-31T14:46:31.41" personId="{ACEC28A4-CD67-5D47-A67C-9574FCCEAB04}" id="{DB9A7F00-0899-0349-ACF3-A4B0187E9EA6}" parentId="{D2D6FFFC-1986-FD43-BD38-1CA96B8FB6D9}">
    <text>+15 Rückgabe Jan = 65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9CAB-28AB-9946-8611-3EBB0C3198DF}">
  <sheetPr>
    <pageSetUpPr fitToPage="1"/>
  </sheetPr>
  <dimension ref="A1:M101"/>
  <sheetViews>
    <sheetView tabSelected="1" zoomScale="160" zoomScaleNormal="160" workbookViewId="0">
      <pane ySplit="2" topLeftCell="A22" activePane="bottomLeft" state="frozen"/>
      <selection pane="bottomLeft" activeCell="A10" sqref="A10"/>
    </sheetView>
  </sheetViews>
  <sheetFormatPr baseColWidth="10" defaultRowHeight="16" x14ac:dyDescent="0.2"/>
  <cols>
    <col min="1" max="1" width="37.83203125" customWidth="1"/>
    <col min="6" max="6" width="26.83203125" customWidth="1"/>
    <col min="7" max="7" width="10.83203125" style="14"/>
    <col min="8" max="8" width="10.83203125" style="12"/>
  </cols>
  <sheetData>
    <row r="1" spans="1:12" x14ac:dyDescent="0.2">
      <c r="A1" s="25" t="s">
        <v>217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 x14ac:dyDescent="0.2">
      <c r="A2" s="1" t="s">
        <v>101</v>
      </c>
      <c r="B2" s="1"/>
      <c r="C2" s="1"/>
      <c r="D2" s="1"/>
      <c r="E2" s="1" t="s">
        <v>104</v>
      </c>
      <c r="F2" s="1" t="s">
        <v>105</v>
      </c>
      <c r="G2" s="2" t="s">
        <v>95</v>
      </c>
      <c r="H2" s="3" t="s">
        <v>90</v>
      </c>
      <c r="I2" s="1" t="s">
        <v>91</v>
      </c>
      <c r="J2" s="1" t="s">
        <v>92</v>
      </c>
      <c r="K2" s="1" t="s">
        <v>93</v>
      </c>
      <c r="L2" s="1" t="s">
        <v>94</v>
      </c>
    </row>
    <row r="3" spans="1:12" x14ac:dyDescent="0.2">
      <c r="A3" s="4" t="s">
        <v>124</v>
      </c>
      <c r="B3" s="5" t="s">
        <v>9</v>
      </c>
      <c r="C3" s="6" t="s">
        <v>2</v>
      </c>
      <c r="D3" s="6">
        <v>30</v>
      </c>
      <c r="E3" s="6" t="s">
        <v>134</v>
      </c>
      <c r="F3" s="7" t="s">
        <v>135</v>
      </c>
      <c r="G3" s="8">
        <v>80000</v>
      </c>
      <c r="H3" s="9">
        <v>0.06</v>
      </c>
      <c r="I3" s="4"/>
      <c r="J3" s="4"/>
      <c r="K3" s="4" t="s">
        <v>96</v>
      </c>
      <c r="L3" s="4"/>
    </row>
    <row r="4" spans="1:12" x14ac:dyDescent="0.2">
      <c r="A4" s="4" t="s">
        <v>218</v>
      </c>
      <c r="B4" s="5" t="s">
        <v>9</v>
      </c>
      <c r="C4" s="6"/>
      <c r="D4" s="6"/>
      <c r="E4" s="6" t="s">
        <v>219</v>
      </c>
      <c r="F4" s="7" t="s">
        <v>220</v>
      </c>
      <c r="G4" s="8">
        <v>150000</v>
      </c>
      <c r="H4" s="9">
        <v>0.06</v>
      </c>
      <c r="I4" s="4"/>
      <c r="J4" s="4"/>
      <c r="K4" s="4" t="s">
        <v>96</v>
      </c>
      <c r="L4" s="4"/>
    </row>
    <row r="5" spans="1:12" x14ac:dyDescent="0.2">
      <c r="A5" s="10" t="s">
        <v>0</v>
      </c>
      <c r="B5" s="6" t="s">
        <v>1</v>
      </c>
      <c r="C5" s="6" t="s">
        <v>2</v>
      </c>
      <c r="D5" s="6">
        <v>1</v>
      </c>
      <c r="E5" s="6" t="s">
        <v>3</v>
      </c>
      <c r="F5" s="7" t="s">
        <v>162</v>
      </c>
      <c r="G5" s="8">
        <v>50000</v>
      </c>
      <c r="H5" s="9">
        <v>0.05</v>
      </c>
      <c r="I5" s="4"/>
      <c r="J5" s="4"/>
      <c r="K5" s="4" t="s">
        <v>96</v>
      </c>
      <c r="L5" s="4"/>
    </row>
    <row r="6" spans="1:12" x14ac:dyDescent="0.2">
      <c r="A6" s="10" t="s">
        <v>125</v>
      </c>
      <c r="B6" s="6" t="s">
        <v>52</v>
      </c>
      <c r="C6" s="6" t="s">
        <v>6</v>
      </c>
      <c r="D6" s="6">
        <v>21</v>
      </c>
      <c r="E6" s="6" t="s">
        <v>136</v>
      </c>
      <c r="F6" s="7" t="s">
        <v>137</v>
      </c>
      <c r="G6" s="8">
        <v>110000</v>
      </c>
      <c r="H6" s="9">
        <v>0.06</v>
      </c>
      <c r="I6" s="4"/>
      <c r="J6" s="4"/>
      <c r="K6" s="4" t="s">
        <v>96</v>
      </c>
      <c r="L6" s="4"/>
    </row>
    <row r="7" spans="1:12" x14ac:dyDescent="0.2">
      <c r="A7" s="10" t="s">
        <v>4</v>
      </c>
      <c r="B7" s="6" t="s">
        <v>5</v>
      </c>
      <c r="C7" s="6" t="s">
        <v>6</v>
      </c>
      <c r="D7" s="6">
        <v>15</v>
      </c>
      <c r="E7" s="6" t="s">
        <v>7</v>
      </c>
      <c r="F7" s="6" t="s">
        <v>163</v>
      </c>
      <c r="G7" s="8">
        <v>70000</v>
      </c>
      <c r="H7" s="9">
        <v>5.0000000000000001E-3</v>
      </c>
      <c r="I7" s="4"/>
      <c r="J7" s="4" t="s">
        <v>96</v>
      </c>
      <c r="K7" s="4"/>
      <c r="L7" s="4"/>
    </row>
    <row r="8" spans="1:12" x14ac:dyDescent="0.2">
      <c r="A8" s="10" t="s">
        <v>4</v>
      </c>
      <c r="B8" s="6" t="s">
        <v>5</v>
      </c>
      <c r="C8" s="6" t="s">
        <v>121</v>
      </c>
      <c r="D8" s="6">
        <v>6</v>
      </c>
      <c r="E8" s="6" t="s">
        <v>122</v>
      </c>
      <c r="F8" s="6" t="s">
        <v>164</v>
      </c>
      <c r="G8" s="8">
        <v>65000</v>
      </c>
      <c r="H8" s="9">
        <v>0.05</v>
      </c>
      <c r="I8" s="4"/>
      <c r="J8" s="4" t="s">
        <v>96</v>
      </c>
      <c r="K8" s="4"/>
      <c r="L8" s="4"/>
    </row>
    <row r="9" spans="1:12" x14ac:dyDescent="0.2">
      <c r="A9" s="10" t="s">
        <v>4</v>
      </c>
      <c r="B9" s="6" t="s">
        <v>5</v>
      </c>
      <c r="C9" s="6" t="s">
        <v>12</v>
      </c>
      <c r="D9" s="6">
        <v>42</v>
      </c>
      <c r="E9" s="6" t="s">
        <v>120</v>
      </c>
      <c r="F9" s="6" t="s">
        <v>165</v>
      </c>
      <c r="G9" s="8">
        <v>140000</v>
      </c>
      <c r="H9" s="9">
        <v>0.04</v>
      </c>
      <c r="I9" s="4"/>
      <c r="J9" s="4" t="s">
        <v>96</v>
      </c>
      <c r="K9" s="4"/>
      <c r="L9" s="4"/>
    </row>
    <row r="10" spans="1:12" x14ac:dyDescent="0.2">
      <c r="A10" s="10" t="s">
        <v>8</v>
      </c>
      <c r="B10" s="5" t="s">
        <v>9</v>
      </c>
      <c r="C10" s="6" t="s">
        <v>2</v>
      </c>
      <c r="D10" s="6">
        <v>29</v>
      </c>
      <c r="E10" s="6" t="s">
        <v>10</v>
      </c>
      <c r="F10" s="6" t="s">
        <v>166</v>
      </c>
      <c r="G10" s="8">
        <v>60000</v>
      </c>
      <c r="H10" s="24" t="s">
        <v>169</v>
      </c>
      <c r="I10" s="4"/>
      <c r="J10" s="4"/>
      <c r="K10" s="4" t="s">
        <v>96</v>
      </c>
      <c r="L10" s="4"/>
    </row>
    <row r="11" spans="1:12" x14ac:dyDescent="0.2">
      <c r="A11" s="10" t="s">
        <v>8</v>
      </c>
      <c r="B11" s="5" t="s">
        <v>9</v>
      </c>
      <c r="C11" s="6" t="s">
        <v>2</v>
      </c>
      <c r="D11" s="6">
        <v>28</v>
      </c>
      <c r="E11" s="6" t="s">
        <v>167</v>
      </c>
      <c r="F11" s="6" t="s">
        <v>168</v>
      </c>
      <c r="G11" s="8">
        <v>60000</v>
      </c>
      <c r="H11" s="24" t="s">
        <v>169</v>
      </c>
      <c r="I11" s="4"/>
      <c r="J11" s="4"/>
      <c r="K11" s="4" t="s">
        <v>96</v>
      </c>
      <c r="L11" s="4"/>
    </row>
    <row r="12" spans="1:12" x14ac:dyDescent="0.2">
      <c r="A12" s="10" t="s">
        <v>126</v>
      </c>
      <c r="B12" s="5" t="s">
        <v>50</v>
      </c>
      <c r="C12" s="6" t="s">
        <v>12</v>
      </c>
      <c r="D12" s="6">
        <v>34</v>
      </c>
      <c r="E12" s="6" t="s">
        <v>138</v>
      </c>
      <c r="F12" s="6" t="s">
        <v>170</v>
      </c>
      <c r="G12" s="8">
        <v>130000</v>
      </c>
      <c r="H12" s="9" t="s">
        <v>99</v>
      </c>
      <c r="I12" s="4"/>
      <c r="J12" s="4"/>
      <c r="K12" s="4" t="s">
        <v>96</v>
      </c>
      <c r="L12" s="4"/>
    </row>
    <row r="13" spans="1:12" x14ac:dyDescent="0.2">
      <c r="A13" s="10" t="s">
        <v>126</v>
      </c>
      <c r="B13" s="5" t="s">
        <v>50</v>
      </c>
      <c r="C13" s="6" t="s">
        <v>12</v>
      </c>
      <c r="D13" s="6">
        <v>5</v>
      </c>
      <c r="E13" s="6" t="s">
        <v>139</v>
      </c>
      <c r="F13" s="6" t="s">
        <v>171</v>
      </c>
      <c r="G13" s="8">
        <v>130000</v>
      </c>
      <c r="H13" s="9">
        <v>0.06</v>
      </c>
      <c r="I13" s="4"/>
      <c r="J13" s="4"/>
      <c r="K13" s="4" t="s">
        <v>96</v>
      </c>
      <c r="L13" s="4"/>
    </row>
    <row r="14" spans="1:12" x14ac:dyDescent="0.2">
      <c r="A14" s="10" t="s">
        <v>11</v>
      </c>
      <c r="B14" s="5" t="s">
        <v>5</v>
      </c>
      <c r="C14" s="6" t="s">
        <v>12</v>
      </c>
      <c r="D14" s="6">
        <v>65</v>
      </c>
      <c r="E14" s="6" t="s">
        <v>13</v>
      </c>
      <c r="F14" s="6" t="s">
        <v>223</v>
      </c>
      <c r="G14" s="8">
        <v>180000</v>
      </c>
      <c r="H14" s="10" t="s">
        <v>97</v>
      </c>
      <c r="I14" s="4"/>
      <c r="J14" s="4"/>
      <c r="K14" s="4" t="s">
        <v>96</v>
      </c>
      <c r="L14" s="4" t="s">
        <v>102</v>
      </c>
    </row>
    <row r="15" spans="1:12" x14ac:dyDescent="0.2">
      <c r="A15" s="10" t="s">
        <v>11</v>
      </c>
      <c r="B15" s="5" t="s">
        <v>5</v>
      </c>
      <c r="C15" s="6" t="s">
        <v>2</v>
      </c>
      <c r="D15" s="6">
        <v>9</v>
      </c>
      <c r="E15" s="6" t="s">
        <v>14</v>
      </c>
      <c r="F15" s="6" t="s">
        <v>224</v>
      </c>
      <c r="G15" s="8">
        <v>180000</v>
      </c>
      <c r="H15" s="10" t="s">
        <v>97</v>
      </c>
      <c r="I15" s="4"/>
      <c r="J15" s="4"/>
      <c r="K15" s="4" t="s">
        <v>96</v>
      </c>
      <c r="L15" s="4"/>
    </row>
    <row r="16" spans="1:12" x14ac:dyDescent="0.2">
      <c r="A16" s="10" t="s">
        <v>11</v>
      </c>
      <c r="B16" s="5" t="s">
        <v>5</v>
      </c>
      <c r="C16" s="6" t="s">
        <v>12</v>
      </c>
      <c r="D16" s="6">
        <v>96</v>
      </c>
      <c r="E16" s="6" t="s">
        <v>15</v>
      </c>
      <c r="F16" s="6" t="s">
        <v>225</v>
      </c>
      <c r="G16" s="8">
        <v>180000</v>
      </c>
      <c r="H16" s="10">
        <v>0.06</v>
      </c>
      <c r="I16" s="4"/>
      <c r="J16" s="4"/>
      <c r="K16" s="4" t="s">
        <v>96</v>
      </c>
      <c r="L16" s="4"/>
    </row>
    <row r="17" spans="1:12" x14ac:dyDescent="0.2">
      <c r="A17" s="10" t="s">
        <v>11</v>
      </c>
      <c r="B17" s="5" t="s">
        <v>5</v>
      </c>
      <c r="C17" s="6" t="s">
        <v>121</v>
      </c>
      <c r="D17" s="6">
        <v>19</v>
      </c>
      <c r="E17" s="6" t="s">
        <v>221</v>
      </c>
      <c r="F17" s="6" t="s">
        <v>222</v>
      </c>
      <c r="G17" s="8">
        <v>150000</v>
      </c>
      <c r="H17" s="10">
        <v>0.06</v>
      </c>
      <c r="I17" s="4"/>
      <c r="J17" s="4"/>
      <c r="K17" s="4" t="s">
        <v>96</v>
      </c>
      <c r="L17" s="4"/>
    </row>
    <row r="18" spans="1:12" x14ac:dyDescent="0.2">
      <c r="A18" s="10" t="s">
        <v>31</v>
      </c>
      <c r="B18" s="5" t="s">
        <v>32</v>
      </c>
      <c r="C18" s="6" t="s">
        <v>12</v>
      </c>
      <c r="D18" s="6">
        <v>68</v>
      </c>
      <c r="E18" s="6" t="s">
        <v>33</v>
      </c>
      <c r="F18" s="6" t="s">
        <v>172</v>
      </c>
      <c r="G18" s="8">
        <v>150000</v>
      </c>
      <c r="H18" s="9">
        <v>0.05</v>
      </c>
      <c r="I18" s="4"/>
      <c r="J18" s="4"/>
      <c r="K18" s="4" t="s">
        <v>96</v>
      </c>
      <c r="L18" s="4"/>
    </row>
    <row r="19" spans="1:12" x14ac:dyDescent="0.2">
      <c r="A19" s="10" t="s">
        <v>16</v>
      </c>
      <c r="B19" s="5" t="s">
        <v>5</v>
      </c>
      <c r="C19" s="6" t="s">
        <v>17</v>
      </c>
      <c r="D19" s="6">
        <v>12</v>
      </c>
      <c r="E19" s="6" t="s">
        <v>18</v>
      </c>
      <c r="F19" s="6" t="s">
        <v>106</v>
      </c>
      <c r="G19" s="8">
        <v>120000</v>
      </c>
      <c r="H19" s="10" t="s">
        <v>98</v>
      </c>
      <c r="I19" s="4"/>
      <c r="J19" s="4"/>
      <c r="K19" s="4" t="s">
        <v>96</v>
      </c>
      <c r="L19" s="4"/>
    </row>
    <row r="20" spans="1:12" x14ac:dyDescent="0.2">
      <c r="A20" s="10" t="s">
        <v>16</v>
      </c>
      <c r="B20" s="5" t="s">
        <v>5</v>
      </c>
      <c r="C20" s="6" t="s">
        <v>2</v>
      </c>
      <c r="D20" s="6">
        <v>24</v>
      </c>
      <c r="E20" s="6" t="s">
        <v>19</v>
      </c>
      <c r="F20" s="6" t="s">
        <v>107</v>
      </c>
      <c r="G20" s="8">
        <v>120000</v>
      </c>
      <c r="H20" s="10" t="s">
        <v>98</v>
      </c>
      <c r="I20" s="4"/>
      <c r="J20" s="4"/>
      <c r="K20" s="4" t="s">
        <v>96</v>
      </c>
      <c r="L20" s="4"/>
    </row>
    <row r="21" spans="1:12" x14ac:dyDescent="0.2">
      <c r="A21" s="10" t="s">
        <v>16</v>
      </c>
      <c r="B21" s="5" t="s">
        <v>5</v>
      </c>
      <c r="C21" s="6" t="s">
        <v>2</v>
      </c>
      <c r="D21" s="6">
        <v>3</v>
      </c>
      <c r="E21" s="6" t="s">
        <v>20</v>
      </c>
      <c r="F21" s="6" t="s">
        <v>108</v>
      </c>
      <c r="G21" s="8">
        <v>120000</v>
      </c>
      <c r="H21" s="10" t="s">
        <v>98</v>
      </c>
      <c r="I21" s="4"/>
      <c r="J21" s="4"/>
      <c r="K21" s="4" t="s">
        <v>96</v>
      </c>
      <c r="L21" s="4"/>
    </row>
    <row r="22" spans="1:12" x14ac:dyDescent="0.2">
      <c r="A22" s="10" t="s">
        <v>16</v>
      </c>
      <c r="B22" s="5" t="s">
        <v>5</v>
      </c>
      <c r="C22" s="6" t="s">
        <v>2</v>
      </c>
      <c r="D22" s="6">
        <v>5</v>
      </c>
      <c r="E22" s="6" t="s">
        <v>21</v>
      </c>
      <c r="F22" s="6" t="s">
        <v>109</v>
      </c>
      <c r="G22" s="8">
        <v>50000</v>
      </c>
      <c r="H22" s="10" t="s">
        <v>98</v>
      </c>
      <c r="I22" s="4"/>
      <c r="J22" s="4"/>
      <c r="K22" s="4" t="s">
        <v>96</v>
      </c>
      <c r="L22" s="4"/>
    </row>
    <row r="23" spans="1:12" x14ac:dyDescent="0.2">
      <c r="A23" s="10" t="s">
        <v>16</v>
      </c>
      <c r="B23" s="5" t="s">
        <v>5</v>
      </c>
      <c r="C23" s="6" t="s">
        <v>17</v>
      </c>
      <c r="D23" s="6">
        <v>6</v>
      </c>
      <c r="E23" s="6" t="s">
        <v>22</v>
      </c>
      <c r="F23" s="6" t="s">
        <v>110</v>
      </c>
      <c r="G23" s="8">
        <v>120000</v>
      </c>
      <c r="H23" s="10" t="s">
        <v>98</v>
      </c>
      <c r="I23" s="4"/>
      <c r="J23" s="4"/>
      <c r="K23" s="4" t="s">
        <v>96</v>
      </c>
      <c r="L23" s="4"/>
    </row>
    <row r="24" spans="1:12" x14ac:dyDescent="0.2">
      <c r="A24" s="10" t="s">
        <v>16</v>
      </c>
      <c r="B24" s="5" t="s">
        <v>5</v>
      </c>
      <c r="C24" s="6" t="s">
        <v>17</v>
      </c>
      <c r="D24" s="6">
        <v>2</v>
      </c>
      <c r="E24" s="6" t="s">
        <v>23</v>
      </c>
      <c r="F24" s="6" t="s">
        <v>111</v>
      </c>
      <c r="G24" s="8">
        <v>50000</v>
      </c>
      <c r="H24" s="10" t="s">
        <v>98</v>
      </c>
      <c r="I24" s="4"/>
      <c r="J24" s="4"/>
      <c r="K24" s="4" t="s">
        <v>96</v>
      </c>
      <c r="L24" s="4"/>
    </row>
    <row r="25" spans="1:12" x14ac:dyDescent="0.2">
      <c r="A25" s="10" t="s">
        <v>16</v>
      </c>
      <c r="B25" s="5" t="s">
        <v>5</v>
      </c>
      <c r="C25" s="6" t="s">
        <v>2</v>
      </c>
      <c r="D25" s="6">
        <v>3</v>
      </c>
      <c r="E25" s="6" t="s">
        <v>24</v>
      </c>
      <c r="F25" s="6" t="s">
        <v>112</v>
      </c>
      <c r="G25" s="8">
        <v>120000</v>
      </c>
      <c r="H25" s="9">
        <v>5.1999999999999998E-2</v>
      </c>
      <c r="I25" s="4"/>
      <c r="J25" s="4"/>
      <c r="K25" s="4" t="s">
        <v>96</v>
      </c>
      <c r="L25" s="4"/>
    </row>
    <row r="26" spans="1:12" x14ac:dyDescent="0.2">
      <c r="A26" s="10" t="s">
        <v>16</v>
      </c>
      <c r="B26" s="5" t="s">
        <v>5</v>
      </c>
      <c r="C26" s="6" t="s">
        <v>17</v>
      </c>
      <c r="D26" s="6">
        <v>10</v>
      </c>
      <c r="E26" s="6" t="s">
        <v>25</v>
      </c>
      <c r="F26" s="6" t="s">
        <v>113</v>
      </c>
      <c r="G26" s="8">
        <v>120000</v>
      </c>
      <c r="H26" s="9">
        <v>5.1999999999999998E-2</v>
      </c>
      <c r="I26" s="4"/>
      <c r="J26" s="4"/>
      <c r="K26" s="4" t="s">
        <v>96</v>
      </c>
      <c r="L26" s="4"/>
    </row>
    <row r="27" spans="1:12" x14ac:dyDescent="0.2">
      <c r="A27" s="10" t="s">
        <v>26</v>
      </c>
      <c r="B27" s="5" t="s">
        <v>5</v>
      </c>
      <c r="C27" s="6" t="s">
        <v>17</v>
      </c>
      <c r="D27" s="6">
        <v>22</v>
      </c>
      <c r="E27" s="6" t="s">
        <v>27</v>
      </c>
      <c r="F27" s="6" t="s">
        <v>114</v>
      </c>
      <c r="G27" s="8">
        <v>140000</v>
      </c>
      <c r="H27" s="9">
        <v>0.05</v>
      </c>
      <c r="I27" s="4"/>
      <c r="J27" s="4"/>
      <c r="K27" s="4" t="s">
        <v>96</v>
      </c>
      <c r="L27" s="4"/>
    </row>
    <row r="28" spans="1:12" x14ac:dyDescent="0.2">
      <c r="A28" s="10" t="s">
        <v>16</v>
      </c>
      <c r="B28" s="5" t="s">
        <v>5</v>
      </c>
      <c r="C28" s="6" t="s">
        <v>28</v>
      </c>
      <c r="D28" s="6">
        <v>7</v>
      </c>
      <c r="E28" s="6" t="s">
        <v>29</v>
      </c>
      <c r="F28" s="6" t="s">
        <v>115</v>
      </c>
      <c r="G28" s="8">
        <v>100000</v>
      </c>
      <c r="H28" s="9">
        <v>0.05</v>
      </c>
      <c r="I28" s="4"/>
      <c r="J28" s="4" t="s">
        <v>96</v>
      </c>
      <c r="K28" s="4"/>
      <c r="L28" s="4"/>
    </row>
    <row r="29" spans="1:12" x14ac:dyDescent="0.2">
      <c r="A29" s="10" t="s">
        <v>16</v>
      </c>
      <c r="B29" s="5" t="s">
        <v>5</v>
      </c>
      <c r="C29" s="6" t="s">
        <v>17</v>
      </c>
      <c r="D29" s="6">
        <v>4</v>
      </c>
      <c r="E29" s="6" t="s">
        <v>30</v>
      </c>
      <c r="F29" s="6" t="s">
        <v>116</v>
      </c>
      <c r="G29" s="8">
        <v>100000</v>
      </c>
      <c r="H29" s="9">
        <v>0.05</v>
      </c>
      <c r="I29" s="4"/>
      <c r="J29" s="4" t="s">
        <v>96</v>
      </c>
      <c r="K29" s="4"/>
      <c r="L29" s="4"/>
    </row>
    <row r="30" spans="1:12" x14ac:dyDescent="0.2">
      <c r="A30" s="10" t="s">
        <v>16</v>
      </c>
      <c r="B30" s="5" t="s">
        <v>5</v>
      </c>
      <c r="C30" s="6" t="s">
        <v>234</v>
      </c>
      <c r="D30" s="6">
        <v>6</v>
      </c>
      <c r="E30" s="6" t="s">
        <v>226</v>
      </c>
      <c r="F30" s="6" t="s">
        <v>227</v>
      </c>
      <c r="G30" s="8">
        <v>173000</v>
      </c>
      <c r="H30" s="9">
        <v>0.06</v>
      </c>
      <c r="I30" s="4"/>
      <c r="J30" s="4" t="s">
        <v>96</v>
      </c>
      <c r="K30" s="4"/>
      <c r="L30" s="4"/>
    </row>
    <row r="31" spans="1:12" x14ac:dyDescent="0.2">
      <c r="A31" s="10" t="s">
        <v>16</v>
      </c>
      <c r="B31" s="5" t="s">
        <v>5</v>
      </c>
      <c r="C31" s="6" t="s">
        <v>121</v>
      </c>
      <c r="D31" s="6">
        <v>3</v>
      </c>
      <c r="E31" s="6" t="s">
        <v>228</v>
      </c>
      <c r="F31" s="6" t="s">
        <v>229</v>
      </c>
      <c r="G31" s="8">
        <v>173000</v>
      </c>
      <c r="H31" s="9">
        <v>0.06</v>
      </c>
      <c r="I31" s="4"/>
      <c r="J31" s="4" t="s">
        <v>96</v>
      </c>
      <c r="K31" s="4"/>
      <c r="L31" s="4"/>
    </row>
    <row r="32" spans="1:12" x14ac:dyDescent="0.2">
      <c r="A32" s="10" t="s">
        <v>16</v>
      </c>
      <c r="B32" s="5" t="s">
        <v>5</v>
      </c>
      <c r="C32" s="6" t="s">
        <v>235</v>
      </c>
      <c r="D32" s="6">
        <v>13</v>
      </c>
      <c r="E32" s="6" t="s">
        <v>230</v>
      </c>
      <c r="F32" s="6" t="s">
        <v>231</v>
      </c>
      <c r="G32" s="8">
        <v>173000</v>
      </c>
      <c r="H32" s="9">
        <v>0.06</v>
      </c>
      <c r="I32" s="4"/>
      <c r="J32" s="4" t="s">
        <v>96</v>
      </c>
      <c r="K32" s="4"/>
      <c r="L32" s="4"/>
    </row>
    <row r="33" spans="1:12" x14ac:dyDescent="0.2">
      <c r="A33" s="10" t="s">
        <v>16</v>
      </c>
      <c r="B33" s="5" t="s">
        <v>5</v>
      </c>
      <c r="C33" s="6" t="s">
        <v>236</v>
      </c>
      <c r="D33" s="6">
        <v>8</v>
      </c>
      <c r="E33" s="6" t="s">
        <v>232</v>
      </c>
      <c r="F33" s="6" t="s">
        <v>233</v>
      </c>
      <c r="G33" s="8">
        <v>50000</v>
      </c>
      <c r="H33" s="9">
        <v>0.06</v>
      </c>
      <c r="I33" s="4"/>
      <c r="J33" s="4" t="s">
        <v>96</v>
      </c>
      <c r="K33" s="4"/>
      <c r="L33" s="4"/>
    </row>
    <row r="34" spans="1:12" x14ac:dyDescent="0.2">
      <c r="A34" s="10" t="s">
        <v>34</v>
      </c>
      <c r="B34" s="5" t="s">
        <v>9</v>
      </c>
      <c r="C34" s="6" t="s">
        <v>17</v>
      </c>
      <c r="D34" s="6">
        <v>22</v>
      </c>
      <c r="E34" s="6" t="s">
        <v>35</v>
      </c>
      <c r="F34" s="6" t="s">
        <v>173</v>
      </c>
      <c r="G34" s="8">
        <v>120000</v>
      </c>
      <c r="H34" s="9">
        <v>0.06</v>
      </c>
      <c r="I34" s="4"/>
      <c r="J34" s="4"/>
      <c r="K34" s="4" t="s">
        <v>96</v>
      </c>
      <c r="L34" s="4"/>
    </row>
    <row r="35" spans="1:12" x14ac:dyDescent="0.2">
      <c r="A35" s="10" t="s">
        <v>36</v>
      </c>
      <c r="B35" s="5" t="s">
        <v>5</v>
      </c>
      <c r="C35" s="6" t="s">
        <v>28</v>
      </c>
      <c r="D35" s="6">
        <v>50</v>
      </c>
      <c r="E35" s="6" t="s">
        <v>37</v>
      </c>
      <c r="F35" s="6" t="s">
        <v>174</v>
      </c>
      <c r="G35" s="8">
        <v>120000</v>
      </c>
      <c r="H35" s="10" t="s">
        <v>99</v>
      </c>
      <c r="I35" s="4"/>
      <c r="J35" s="4"/>
      <c r="K35" s="4" t="s">
        <v>96</v>
      </c>
      <c r="L35" s="4"/>
    </row>
    <row r="36" spans="1:12" x14ac:dyDescent="0.2">
      <c r="A36" s="10" t="s">
        <v>36</v>
      </c>
      <c r="B36" s="5" t="s">
        <v>5</v>
      </c>
      <c r="C36" s="6" t="s">
        <v>17</v>
      </c>
      <c r="D36" s="6">
        <v>172</v>
      </c>
      <c r="E36" s="6" t="s">
        <v>38</v>
      </c>
      <c r="F36" s="6" t="s">
        <v>237</v>
      </c>
      <c r="G36" s="8">
        <v>140000</v>
      </c>
      <c r="H36" s="10" t="s">
        <v>99</v>
      </c>
      <c r="I36" s="4"/>
      <c r="J36" s="4"/>
      <c r="K36" s="4" t="s">
        <v>96</v>
      </c>
      <c r="L36" s="4"/>
    </row>
    <row r="37" spans="1:12" x14ac:dyDescent="0.2">
      <c r="A37" s="10" t="s">
        <v>36</v>
      </c>
      <c r="B37" s="5" t="s">
        <v>5</v>
      </c>
      <c r="C37" s="6" t="s">
        <v>39</v>
      </c>
      <c r="D37" s="6">
        <v>137</v>
      </c>
      <c r="E37" s="11" t="s">
        <v>38</v>
      </c>
      <c r="F37" s="6" t="s">
        <v>175</v>
      </c>
      <c r="G37" s="8">
        <v>140000</v>
      </c>
      <c r="H37" s="10" t="s">
        <v>99</v>
      </c>
      <c r="I37" s="4"/>
      <c r="J37" s="4"/>
      <c r="K37" s="4" t="s">
        <v>96</v>
      </c>
      <c r="L37" s="4"/>
    </row>
    <row r="38" spans="1:12" x14ac:dyDescent="0.2">
      <c r="A38" s="10" t="s">
        <v>40</v>
      </c>
      <c r="B38" s="5" t="s">
        <v>5</v>
      </c>
      <c r="C38" s="6" t="s">
        <v>17</v>
      </c>
      <c r="D38" s="6">
        <f>5+6</f>
        <v>11</v>
      </c>
      <c r="E38" s="6" t="s">
        <v>41</v>
      </c>
      <c r="F38" s="6" t="s">
        <v>176</v>
      </c>
      <c r="G38" s="8">
        <v>50000</v>
      </c>
      <c r="H38" s="9">
        <v>0.06</v>
      </c>
      <c r="I38" s="4"/>
      <c r="J38" s="4"/>
      <c r="K38" s="4" t="s">
        <v>96</v>
      </c>
      <c r="L38" s="4"/>
    </row>
    <row r="39" spans="1:12" x14ac:dyDescent="0.2">
      <c r="A39" s="10" t="s">
        <v>42</v>
      </c>
      <c r="B39" s="5" t="s">
        <v>43</v>
      </c>
      <c r="C39" s="6" t="s">
        <v>17</v>
      </c>
      <c r="D39" s="6">
        <v>60</v>
      </c>
      <c r="E39" s="6" t="s">
        <v>44</v>
      </c>
      <c r="F39" s="6" t="s">
        <v>178</v>
      </c>
      <c r="G39" s="8">
        <v>80000</v>
      </c>
      <c r="H39" s="9">
        <v>0.06</v>
      </c>
      <c r="I39" s="4"/>
      <c r="J39" s="4"/>
      <c r="K39" s="4" t="s">
        <v>96</v>
      </c>
      <c r="L39" s="4"/>
    </row>
    <row r="40" spans="1:12" x14ac:dyDescent="0.2">
      <c r="A40" s="10" t="s">
        <v>42</v>
      </c>
      <c r="B40" s="5" t="s">
        <v>43</v>
      </c>
      <c r="C40" s="6" t="s">
        <v>39</v>
      </c>
      <c r="D40" s="6">
        <v>50</v>
      </c>
      <c r="E40" s="6" t="s">
        <v>45</v>
      </c>
      <c r="F40" s="6" t="s">
        <v>177</v>
      </c>
      <c r="G40" s="8">
        <v>80000</v>
      </c>
      <c r="H40" s="9">
        <v>0.06</v>
      </c>
      <c r="I40" s="4"/>
      <c r="J40" s="4"/>
      <c r="K40" s="4" t="s">
        <v>96</v>
      </c>
      <c r="L40" s="4"/>
    </row>
    <row r="41" spans="1:12" x14ac:dyDescent="0.2">
      <c r="A41" s="10" t="s">
        <v>42</v>
      </c>
      <c r="B41" s="5" t="s">
        <v>43</v>
      </c>
      <c r="C41" s="6" t="s">
        <v>2</v>
      </c>
      <c r="D41" s="6">
        <v>60</v>
      </c>
      <c r="E41" s="6" t="s">
        <v>46</v>
      </c>
      <c r="F41" s="6" t="s">
        <v>179</v>
      </c>
      <c r="G41" s="8">
        <v>50000</v>
      </c>
      <c r="H41" s="9">
        <v>0.06</v>
      </c>
      <c r="I41" s="4"/>
      <c r="J41" s="4"/>
      <c r="K41" s="4" t="s">
        <v>96</v>
      </c>
      <c r="L41" s="4"/>
    </row>
    <row r="42" spans="1:12" x14ac:dyDescent="0.2">
      <c r="A42" s="10" t="s">
        <v>47</v>
      </c>
      <c r="B42" s="5" t="s">
        <v>9</v>
      </c>
      <c r="C42" s="6" t="s">
        <v>2</v>
      </c>
      <c r="D42" s="6">
        <v>60</v>
      </c>
      <c r="E42" s="6" t="s">
        <v>48</v>
      </c>
      <c r="F42" s="6" t="s">
        <v>180</v>
      </c>
      <c r="G42" s="8">
        <v>80000</v>
      </c>
      <c r="H42" s="9">
        <v>0.06</v>
      </c>
      <c r="I42" s="4"/>
      <c r="J42" s="4"/>
      <c r="K42" s="4" t="s">
        <v>96</v>
      </c>
      <c r="L42" s="4"/>
    </row>
    <row r="43" spans="1:12" x14ac:dyDescent="0.2">
      <c r="A43" s="10" t="s">
        <v>127</v>
      </c>
      <c r="B43" s="5" t="s">
        <v>140</v>
      </c>
      <c r="C43" s="6" t="s">
        <v>2</v>
      </c>
      <c r="D43" s="6">
        <v>71</v>
      </c>
      <c r="E43" s="6" t="s">
        <v>141</v>
      </c>
      <c r="F43" s="6" t="s">
        <v>142</v>
      </c>
      <c r="G43" s="8">
        <v>150000</v>
      </c>
      <c r="H43" s="9">
        <v>0.06</v>
      </c>
      <c r="I43" s="4"/>
      <c r="J43" s="4" t="s">
        <v>96</v>
      </c>
      <c r="K43" s="4"/>
      <c r="L43" s="4"/>
    </row>
    <row r="44" spans="1:12" x14ac:dyDescent="0.2">
      <c r="A44" s="10" t="s">
        <v>49</v>
      </c>
      <c r="B44" s="5" t="s">
        <v>50</v>
      </c>
      <c r="C44" s="6" t="s">
        <v>235</v>
      </c>
      <c r="D44" s="6">
        <v>20</v>
      </c>
      <c r="E44" s="6" t="s">
        <v>238</v>
      </c>
      <c r="F44" s="6" t="s">
        <v>239</v>
      </c>
      <c r="G44" s="8">
        <v>140000</v>
      </c>
      <c r="H44" s="9">
        <v>0.04</v>
      </c>
      <c r="I44" s="4"/>
      <c r="J44" s="4"/>
      <c r="K44" s="4" t="s">
        <v>96</v>
      </c>
      <c r="L44" s="4"/>
    </row>
    <row r="45" spans="1:12" x14ac:dyDescent="0.2">
      <c r="A45" s="10" t="s">
        <v>240</v>
      </c>
      <c r="B45" s="5" t="s">
        <v>50</v>
      </c>
      <c r="C45" s="6" t="s">
        <v>236</v>
      </c>
      <c r="D45" s="6">
        <v>8</v>
      </c>
      <c r="E45" s="6" t="s">
        <v>241</v>
      </c>
      <c r="F45" s="6" t="s">
        <v>243</v>
      </c>
      <c r="G45" s="8">
        <v>80000</v>
      </c>
      <c r="H45" s="12">
        <v>0.04</v>
      </c>
      <c r="I45" s="4"/>
      <c r="J45" s="4"/>
      <c r="K45" s="13" t="s">
        <v>96</v>
      </c>
      <c r="L45" s="4"/>
    </row>
    <row r="46" spans="1:12" x14ac:dyDescent="0.2">
      <c r="A46" s="10" t="s">
        <v>51</v>
      </c>
      <c r="B46" s="5" t="s">
        <v>52</v>
      </c>
      <c r="C46" s="6" t="s">
        <v>12</v>
      </c>
      <c r="D46" s="6">
        <v>14</v>
      </c>
      <c r="E46" s="6" t="s">
        <v>53</v>
      </c>
      <c r="F46" s="6" t="s">
        <v>242</v>
      </c>
      <c r="G46" s="8">
        <v>120000</v>
      </c>
      <c r="H46" s="9" t="s">
        <v>103</v>
      </c>
      <c r="I46" s="4"/>
      <c r="J46" s="4" t="s">
        <v>96</v>
      </c>
      <c r="K46" s="4"/>
      <c r="L46" s="4"/>
    </row>
    <row r="47" spans="1:12" x14ac:dyDescent="0.2">
      <c r="A47" s="10" t="s">
        <v>244</v>
      </c>
      <c r="B47" s="5" t="s">
        <v>5</v>
      </c>
      <c r="C47" s="6" t="s">
        <v>12</v>
      </c>
      <c r="D47" s="6">
        <v>2</v>
      </c>
      <c r="E47" s="6" t="s">
        <v>245</v>
      </c>
      <c r="F47" s="6" t="s">
        <v>246</v>
      </c>
      <c r="G47" s="8">
        <v>50000</v>
      </c>
      <c r="H47" s="9">
        <v>0.06</v>
      </c>
      <c r="I47" s="4"/>
      <c r="J47" s="4"/>
      <c r="K47" s="4" t="s">
        <v>96</v>
      </c>
      <c r="L47" s="4"/>
    </row>
    <row r="48" spans="1:12" x14ac:dyDescent="0.2">
      <c r="A48" s="10" t="s">
        <v>247</v>
      </c>
      <c r="B48" s="5" t="s">
        <v>5</v>
      </c>
      <c r="C48" s="6" t="s">
        <v>12</v>
      </c>
      <c r="D48" s="6">
        <v>17</v>
      </c>
      <c r="E48" s="6" t="s">
        <v>248</v>
      </c>
      <c r="F48" s="6" t="s">
        <v>249</v>
      </c>
      <c r="G48" s="8">
        <v>180000</v>
      </c>
      <c r="H48" s="9">
        <v>0.06</v>
      </c>
      <c r="I48" s="4"/>
      <c r="J48" s="4"/>
      <c r="K48" s="4" t="s">
        <v>96</v>
      </c>
      <c r="L48" s="4"/>
    </row>
    <row r="49" spans="1:12" x14ac:dyDescent="0.2">
      <c r="A49" s="10" t="s">
        <v>54</v>
      </c>
      <c r="B49" s="5" t="s">
        <v>9</v>
      </c>
      <c r="C49" s="6" t="s">
        <v>6</v>
      </c>
      <c r="D49" s="6">
        <v>80</v>
      </c>
      <c r="E49" s="6" t="s">
        <v>55</v>
      </c>
      <c r="F49" s="6" t="s">
        <v>181</v>
      </c>
      <c r="G49" s="8">
        <v>80000</v>
      </c>
      <c r="H49" s="9">
        <v>5.0000000000000001E-3</v>
      </c>
      <c r="I49" s="4"/>
      <c r="J49" s="4"/>
      <c r="K49" s="4" t="s">
        <v>96</v>
      </c>
      <c r="L49" s="4"/>
    </row>
    <row r="50" spans="1:12" x14ac:dyDescent="0.2">
      <c r="A50" s="10" t="s">
        <v>54</v>
      </c>
      <c r="B50" s="5" t="s">
        <v>9</v>
      </c>
      <c r="C50" s="6" t="s">
        <v>6</v>
      </c>
      <c r="D50" s="6">
        <v>40</v>
      </c>
      <c r="E50" s="6" t="s">
        <v>56</v>
      </c>
      <c r="F50" s="6" t="s">
        <v>182</v>
      </c>
      <c r="G50" s="8">
        <v>80000</v>
      </c>
      <c r="H50" s="9">
        <v>0.05</v>
      </c>
      <c r="I50" s="4"/>
      <c r="J50" s="4"/>
      <c r="K50" s="4" t="s">
        <v>96</v>
      </c>
      <c r="L50" s="4"/>
    </row>
    <row r="51" spans="1:12" x14ac:dyDescent="0.2">
      <c r="A51" s="10" t="s">
        <v>54</v>
      </c>
      <c r="B51" s="5" t="s">
        <v>9</v>
      </c>
      <c r="C51" s="6" t="s">
        <v>6</v>
      </c>
      <c r="D51" s="6">
        <v>60</v>
      </c>
      <c r="E51" s="6" t="s">
        <v>57</v>
      </c>
      <c r="F51" s="6" t="s">
        <v>183</v>
      </c>
      <c r="G51" s="8">
        <v>80000</v>
      </c>
      <c r="H51" s="9">
        <v>0.06</v>
      </c>
      <c r="I51" s="4"/>
      <c r="J51" s="4"/>
      <c r="K51" s="4" t="s">
        <v>96</v>
      </c>
      <c r="L51" s="4"/>
    </row>
    <row r="52" spans="1:12" x14ac:dyDescent="0.2">
      <c r="A52" s="10" t="s">
        <v>58</v>
      </c>
      <c r="B52" s="5" t="s">
        <v>5</v>
      </c>
      <c r="C52" s="6" t="s">
        <v>39</v>
      </c>
      <c r="D52" s="6">
        <v>26</v>
      </c>
      <c r="E52" s="6" t="s">
        <v>59</v>
      </c>
      <c r="F52" s="6" t="s">
        <v>250</v>
      </c>
      <c r="G52" s="8">
        <v>120000</v>
      </c>
      <c r="H52" s="9">
        <v>5.0000000000000001E-3</v>
      </c>
      <c r="I52" s="4"/>
      <c r="J52" s="4"/>
      <c r="K52" s="4" t="s">
        <v>96</v>
      </c>
      <c r="L52" s="4"/>
    </row>
    <row r="53" spans="1:12" x14ac:dyDescent="0.2">
      <c r="A53" s="10" t="s">
        <v>58</v>
      </c>
      <c r="B53" s="5" t="s">
        <v>5</v>
      </c>
      <c r="C53" s="6" t="s">
        <v>39</v>
      </c>
      <c r="D53" s="6">
        <v>22</v>
      </c>
      <c r="E53" s="6" t="s">
        <v>60</v>
      </c>
      <c r="F53" s="6" t="s">
        <v>251</v>
      </c>
      <c r="G53" s="8">
        <v>120000</v>
      </c>
      <c r="H53" s="9">
        <v>5.0000000000000001E-3</v>
      </c>
      <c r="I53" s="4"/>
      <c r="J53" s="4"/>
      <c r="K53" s="4" t="s">
        <v>96</v>
      </c>
      <c r="L53" s="4"/>
    </row>
    <row r="54" spans="1:12" x14ac:dyDescent="0.2">
      <c r="A54" s="10" t="s">
        <v>128</v>
      </c>
      <c r="B54" s="5" t="s">
        <v>61</v>
      </c>
      <c r="C54" s="6" t="s">
        <v>12</v>
      </c>
      <c r="D54" s="6">
        <v>20</v>
      </c>
      <c r="E54" s="6" t="s">
        <v>143</v>
      </c>
      <c r="F54" s="6" t="s">
        <v>252</v>
      </c>
      <c r="G54" s="8">
        <v>180000</v>
      </c>
      <c r="H54" s="9">
        <v>0.06</v>
      </c>
      <c r="I54" s="4"/>
      <c r="J54" s="4"/>
      <c r="K54" s="4" t="s">
        <v>96</v>
      </c>
      <c r="L54" s="4"/>
    </row>
    <row r="55" spans="1:12" x14ac:dyDescent="0.2">
      <c r="A55" s="10" t="s">
        <v>128</v>
      </c>
      <c r="B55" s="5" t="s">
        <v>61</v>
      </c>
      <c r="C55" s="6" t="s">
        <v>2</v>
      </c>
      <c r="D55" s="6">
        <v>2</v>
      </c>
      <c r="E55" s="6" t="s">
        <v>144</v>
      </c>
      <c r="F55" s="6" t="s">
        <v>145</v>
      </c>
      <c r="G55" s="8">
        <v>180000</v>
      </c>
      <c r="H55" s="9">
        <v>0.06</v>
      </c>
      <c r="I55" s="4"/>
      <c r="J55" s="4"/>
      <c r="K55" s="4" t="s">
        <v>96</v>
      </c>
      <c r="L55" s="4"/>
    </row>
    <row r="56" spans="1:12" x14ac:dyDescent="0.2">
      <c r="A56" s="10" t="s">
        <v>128</v>
      </c>
      <c r="B56" s="5" t="s">
        <v>61</v>
      </c>
      <c r="C56" s="6" t="s">
        <v>2</v>
      </c>
      <c r="D56" s="6">
        <v>6</v>
      </c>
      <c r="E56" s="6" t="s">
        <v>146</v>
      </c>
      <c r="F56" s="6" t="s">
        <v>147</v>
      </c>
      <c r="G56" s="8">
        <v>180000</v>
      </c>
      <c r="H56" s="9">
        <v>0.06</v>
      </c>
      <c r="I56" s="4"/>
      <c r="J56" s="4"/>
      <c r="K56" s="4" t="s">
        <v>96</v>
      </c>
      <c r="L56" s="4"/>
    </row>
    <row r="57" spans="1:12" x14ac:dyDescent="0.2">
      <c r="A57" s="10" t="s">
        <v>129</v>
      </c>
      <c r="B57" s="5" t="s">
        <v>148</v>
      </c>
      <c r="C57" s="6" t="s">
        <v>12</v>
      </c>
      <c r="D57" s="6">
        <v>75</v>
      </c>
      <c r="E57" s="6" t="s">
        <v>149</v>
      </c>
      <c r="F57" s="6" t="s">
        <v>150</v>
      </c>
      <c r="G57" s="8">
        <v>120000</v>
      </c>
      <c r="H57" s="9">
        <v>0.06</v>
      </c>
      <c r="I57" s="4"/>
      <c r="J57" s="4"/>
      <c r="K57" s="4" t="s">
        <v>96</v>
      </c>
      <c r="L57" s="4"/>
    </row>
    <row r="58" spans="1:12" x14ac:dyDescent="0.2">
      <c r="A58" s="10" t="s">
        <v>253</v>
      </c>
      <c r="B58" s="5" t="s">
        <v>5</v>
      </c>
      <c r="C58" s="6" t="s">
        <v>236</v>
      </c>
      <c r="D58" s="6">
        <v>25</v>
      </c>
      <c r="E58" s="6" t="s">
        <v>254</v>
      </c>
      <c r="F58" s="6" t="s">
        <v>255</v>
      </c>
      <c r="G58" s="8">
        <v>80000</v>
      </c>
      <c r="H58" s="9">
        <v>0.06</v>
      </c>
      <c r="I58" s="4"/>
      <c r="J58" s="4"/>
      <c r="K58" s="4" t="s">
        <v>96</v>
      </c>
      <c r="L58" s="4"/>
    </row>
    <row r="59" spans="1:12" x14ac:dyDescent="0.2">
      <c r="A59" s="10" t="s">
        <v>62</v>
      </c>
      <c r="B59" s="5" t="s">
        <v>5</v>
      </c>
      <c r="C59" s="6" t="s">
        <v>236</v>
      </c>
      <c r="D59" s="6">
        <v>24</v>
      </c>
      <c r="E59" s="6" t="s">
        <v>256</v>
      </c>
      <c r="F59" s="6" t="s">
        <v>257</v>
      </c>
      <c r="G59" s="8">
        <v>50000</v>
      </c>
      <c r="H59" s="9">
        <v>0.06</v>
      </c>
      <c r="I59" s="4"/>
      <c r="J59" s="4"/>
      <c r="K59" s="4" t="s">
        <v>96</v>
      </c>
      <c r="L59" s="4"/>
    </row>
    <row r="60" spans="1:12" x14ac:dyDescent="0.2">
      <c r="A60" s="10" t="s">
        <v>62</v>
      </c>
      <c r="B60" s="5" t="s">
        <v>5</v>
      </c>
      <c r="C60" s="6" t="s">
        <v>236</v>
      </c>
      <c r="D60" s="6">
        <v>3</v>
      </c>
      <c r="E60" s="6" t="s">
        <v>258</v>
      </c>
      <c r="F60" s="6" t="s">
        <v>259</v>
      </c>
      <c r="G60" s="8">
        <v>50000</v>
      </c>
      <c r="H60" s="9">
        <v>0.06</v>
      </c>
      <c r="I60" s="4"/>
      <c r="J60" s="4"/>
      <c r="K60" s="4" t="s">
        <v>96</v>
      </c>
      <c r="L60" s="4"/>
    </row>
    <row r="61" spans="1:12" x14ac:dyDescent="0.2">
      <c r="A61" s="10" t="s">
        <v>130</v>
      </c>
      <c r="B61" s="5" t="s">
        <v>1</v>
      </c>
      <c r="C61" s="6" t="s">
        <v>151</v>
      </c>
      <c r="D61" s="6">
        <v>110</v>
      </c>
      <c r="E61" s="6" t="s">
        <v>152</v>
      </c>
      <c r="F61" s="6" t="s">
        <v>153</v>
      </c>
      <c r="G61" s="8">
        <v>80000</v>
      </c>
      <c r="H61" s="9">
        <v>0.06</v>
      </c>
      <c r="I61" s="4"/>
      <c r="J61" s="4"/>
      <c r="K61" s="4" t="s">
        <v>96</v>
      </c>
      <c r="L61" s="4"/>
    </row>
    <row r="62" spans="1:12" x14ac:dyDescent="0.2">
      <c r="A62" s="10" t="s">
        <v>130</v>
      </c>
      <c r="B62" s="5" t="s">
        <v>1</v>
      </c>
      <c r="C62" s="6" t="s">
        <v>151</v>
      </c>
      <c r="D62" s="6">
        <v>90</v>
      </c>
      <c r="E62" s="6" t="s">
        <v>260</v>
      </c>
      <c r="F62" s="6" t="s">
        <v>263</v>
      </c>
      <c r="G62" s="8">
        <v>80000</v>
      </c>
      <c r="H62" s="9">
        <v>0.06</v>
      </c>
      <c r="I62" s="4"/>
      <c r="J62" s="4"/>
      <c r="K62" s="4" t="s">
        <v>96</v>
      </c>
      <c r="L62" s="4"/>
    </row>
    <row r="63" spans="1:12" x14ac:dyDescent="0.2">
      <c r="A63" s="10" t="s">
        <v>130</v>
      </c>
      <c r="B63" s="5" t="s">
        <v>1</v>
      </c>
      <c r="C63" s="6" t="s">
        <v>151</v>
      </c>
      <c r="D63" s="6">
        <v>20</v>
      </c>
      <c r="E63" s="6" t="s">
        <v>261</v>
      </c>
      <c r="F63" s="6" t="s">
        <v>262</v>
      </c>
      <c r="G63" s="8">
        <v>80000</v>
      </c>
      <c r="H63" s="9">
        <v>0.06</v>
      </c>
      <c r="I63" s="4"/>
      <c r="J63" s="4"/>
      <c r="K63" s="4" t="s">
        <v>96</v>
      </c>
      <c r="L63" s="4"/>
    </row>
    <row r="64" spans="1:12" x14ac:dyDescent="0.2">
      <c r="A64" s="10" t="s">
        <v>63</v>
      </c>
      <c r="B64" s="5" t="s">
        <v>5</v>
      </c>
      <c r="C64" s="6" t="s">
        <v>17</v>
      </c>
      <c r="D64" s="6">
        <v>90</v>
      </c>
      <c r="E64" s="6" t="s">
        <v>64</v>
      </c>
      <c r="F64" s="6" t="s">
        <v>186</v>
      </c>
      <c r="G64" s="8">
        <v>120000</v>
      </c>
      <c r="H64" s="9" t="s">
        <v>97</v>
      </c>
      <c r="I64" s="4"/>
      <c r="J64" s="4" t="s">
        <v>96</v>
      </c>
      <c r="K64" s="4"/>
      <c r="L64" s="4"/>
    </row>
    <row r="65" spans="1:13" x14ac:dyDescent="0.2">
      <c r="A65" s="10" t="s">
        <v>63</v>
      </c>
      <c r="B65" s="5" t="s">
        <v>5</v>
      </c>
      <c r="C65" s="6" t="s">
        <v>2</v>
      </c>
      <c r="D65" s="6">
        <v>1</v>
      </c>
      <c r="E65" s="6" t="s">
        <v>184</v>
      </c>
      <c r="F65" s="6" t="s">
        <v>185</v>
      </c>
      <c r="G65" s="8">
        <v>80000</v>
      </c>
      <c r="H65" s="9">
        <v>0.06</v>
      </c>
      <c r="I65" s="4"/>
      <c r="J65" s="4" t="s">
        <v>96</v>
      </c>
      <c r="K65" s="4"/>
      <c r="L65" s="4"/>
    </row>
    <row r="66" spans="1:13" x14ac:dyDescent="0.2">
      <c r="A66" s="10" t="s">
        <v>63</v>
      </c>
      <c r="B66" s="5" t="s">
        <v>5</v>
      </c>
      <c r="C66" s="6" t="s">
        <v>17</v>
      </c>
      <c r="D66" s="6">
        <v>28</v>
      </c>
      <c r="E66" s="6" t="s">
        <v>123</v>
      </c>
      <c r="F66" s="6" t="s">
        <v>187</v>
      </c>
      <c r="G66" s="8">
        <v>120000</v>
      </c>
      <c r="H66" s="9">
        <v>0.05</v>
      </c>
      <c r="I66" s="4"/>
      <c r="J66" s="4" t="s">
        <v>96</v>
      </c>
      <c r="K66" s="4"/>
      <c r="L66" s="4"/>
    </row>
    <row r="67" spans="1:13" x14ac:dyDescent="0.2">
      <c r="A67" s="10" t="s">
        <v>213</v>
      </c>
      <c r="B67" s="5" t="s">
        <v>50</v>
      </c>
      <c r="C67" s="6" t="s">
        <v>12</v>
      </c>
      <c r="D67" s="6">
        <v>23</v>
      </c>
      <c r="E67" s="6" t="s">
        <v>65</v>
      </c>
      <c r="F67" s="6" t="s">
        <v>188</v>
      </c>
      <c r="G67" s="8">
        <v>150000</v>
      </c>
      <c r="H67" s="9">
        <v>5.1999999999999998E-2</v>
      </c>
      <c r="I67" s="4"/>
      <c r="J67" s="4"/>
      <c r="K67" s="4" t="s">
        <v>96</v>
      </c>
      <c r="L67" s="4"/>
    </row>
    <row r="68" spans="1:13" x14ac:dyDescent="0.2">
      <c r="A68" s="10" t="s">
        <v>214</v>
      </c>
      <c r="B68" s="5" t="s">
        <v>50</v>
      </c>
      <c r="C68" s="6" t="s">
        <v>12</v>
      </c>
      <c r="D68" s="6">
        <v>14</v>
      </c>
      <c r="E68" s="6" t="s">
        <v>66</v>
      </c>
      <c r="F68" s="6" t="s">
        <v>189</v>
      </c>
      <c r="G68" s="8">
        <v>150000</v>
      </c>
      <c r="H68" s="9">
        <v>0.104</v>
      </c>
      <c r="I68" s="4"/>
      <c r="J68" s="4"/>
      <c r="K68" s="4" t="s">
        <v>96</v>
      </c>
      <c r="L68" s="4" t="s">
        <v>100</v>
      </c>
    </row>
    <row r="69" spans="1:13" s="21" customFormat="1" x14ac:dyDescent="0.2">
      <c r="A69" s="15" t="s">
        <v>67</v>
      </c>
      <c r="B69" s="16" t="s">
        <v>9</v>
      </c>
      <c r="C69" s="16" t="s">
        <v>2</v>
      </c>
      <c r="D69" s="16">
        <v>84</v>
      </c>
      <c r="E69" s="16" t="s">
        <v>68</v>
      </c>
      <c r="F69" s="16" t="s">
        <v>216</v>
      </c>
      <c r="G69" s="17">
        <v>140000</v>
      </c>
      <c r="H69" s="18">
        <v>0.03</v>
      </c>
      <c r="I69" s="19"/>
      <c r="J69" s="19" t="s">
        <v>96</v>
      </c>
      <c r="K69" s="19"/>
      <c r="L69" s="19"/>
      <c r="M69" s="20" t="s">
        <v>215</v>
      </c>
    </row>
    <row r="70" spans="1:13" s="21" customFormat="1" x14ac:dyDescent="0.2">
      <c r="A70" s="15" t="s">
        <v>67</v>
      </c>
      <c r="B70" s="16" t="s">
        <v>9</v>
      </c>
      <c r="C70" s="16" t="s">
        <v>2</v>
      </c>
      <c r="D70" s="16">
        <v>84</v>
      </c>
      <c r="E70" s="16" t="s">
        <v>68</v>
      </c>
      <c r="F70" s="16" t="s">
        <v>210</v>
      </c>
      <c r="G70" s="17">
        <v>140000</v>
      </c>
      <c r="H70" s="18">
        <v>0.03</v>
      </c>
      <c r="I70" s="19"/>
      <c r="J70" s="19" t="s">
        <v>96</v>
      </c>
      <c r="K70" s="19"/>
      <c r="L70" s="19"/>
      <c r="M70" s="20" t="s">
        <v>215</v>
      </c>
    </row>
    <row r="71" spans="1:13" s="21" customFormat="1" x14ac:dyDescent="0.2">
      <c r="A71" s="15" t="s">
        <v>67</v>
      </c>
      <c r="B71" s="16" t="s">
        <v>9</v>
      </c>
      <c r="C71" s="16" t="s">
        <v>2</v>
      </c>
      <c r="D71" s="16">
        <v>90</v>
      </c>
      <c r="E71" s="16" t="s">
        <v>118</v>
      </c>
      <c r="F71" s="16" t="s">
        <v>117</v>
      </c>
      <c r="G71" s="17">
        <v>140000</v>
      </c>
      <c r="H71" s="18">
        <v>0.03</v>
      </c>
      <c r="I71" s="19"/>
      <c r="J71" s="19" t="s">
        <v>96</v>
      </c>
      <c r="K71" s="19"/>
      <c r="L71" s="19"/>
      <c r="M71" s="20" t="s">
        <v>215</v>
      </c>
    </row>
    <row r="72" spans="1:13" x14ac:dyDescent="0.2">
      <c r="A72" s="10" t="s">
        <v>131</v>
      </c>
      <c r="B72" s="6" t="s">
        <v>161</v>
      </c>
      <c r="C72" s="6" t="s">
        <v>17</v>
      </c>
      <c r="D72" s="6">
        <v>22</v>
      </c>
      <c r="E72" s="6" t="s">
        <v>154</v>
      </c>
      <c r="F72" s="6" t="s">
        <v>155</v>
      </c>
      <c r="G72" s="8">
        <v>80000</v>
      </c>
      <c r="H72" s="9">
        <v>0.06</v>
      </c>
      <c r="I72" s="4"/>
      <c r="J72" s="4"/>
      <c r="K72" s="4" t="s">
        <v>96</v>
      </c>
      <c r="L72" s="4"/>
    </row>
    <row r="73" spans="1:13" x14ac:dyDescent="0.2">
      <c r="A73" s="10" t="s">
        <v>69</v>
      </c>
      <c r="B73" s="6" t="s">
        <v>61</v>
      </c>
      <c r="C73" s="6" t="s">
        <v>12</v>
      </c>
      <c r="D73" s="6">
        <v>22</v>
      </c>
      <c r="E73" s="6" t="s">
        <v>70</v>
      </c>
      <c r="F73" s="28" t="s">
        <v>264</v>
      </c>
      <c r="G73" s="29"/>
      <c r="H73" s="29"/>
      <c r="I73" s="29"/>
      <c r="J73" s="29"/>
      <c r="K73" s="29"/>
      <c r="L73" s="30"/>
    </row>
    <row r="74" spans="1:13" x14ac:dyDescent="0.2">
      <c r="A74" s="10" t="s">
        <v>71</v>
      </c>
      <c r="B74" s="5" t="s">
        <v>5</v>
      </c>
      <c r="C74" s="6" t="s">
        <v>39</v>
      </c>
      <c r="D74" s="6">
        <v>28</v>
      </c>
      <c r="E74" s="6" t="s">
        <v>72</v>
      </c>
      <c r="F74" s="6" t="s">
        <v>190</v>
      </c>
      <c r="G74" s="8">
        <v>80000</v>
      </c>
      <c r="H74" s="9">
        <v>5.0000000000000001E-3</v>
      </c>
      <c r="I74" s="4"/>
      <c r="J74" s="4" t="s">
        <v>96</v>
      </c>
      <c r="K74" s="4"/>
      <c r="L74" s="4"/>
    </row>
    <row r="75" spans="1:13" x14ac:dyDescent="0.2">
      <c r="A75" s="10" t="s">
        <v>71</v>
      </c>
      <c r="B75" s="5" t="s">
        <v>5</v>
      </c>
      <c r="C75" s="6" t="s">
        <v>28</v>
      </c>
      <c r="D75" s="6">
        <v>5</v>
      </c>
      <c r="E75" s="6" t="s">
        <v>73</v>
      </c>
      <c r="F75" s="6" t="s">
        <v>191</v>
      </c>
      <c r="G75" s="8">
        <v>80000</v>
      </c>
      <c r="H75" s="9">
        <v>5.0000000000000001E-3</v>
      </c>
      <c r="I75" s="4"/>
      <c r="J75" s="4" t="s">
        <v>96</v>
      </c>
      <c r="K75" s="4"/>
      <c r="L75" s="4"/>
    </row>
    <row r="76" spans="1:13" x14ac:dyDescent="0.2">
      <c r="A76" s="10" t="s">
        <v>71</v>
      </c>
      <c r="B76" s="5" t="s">
        <v>5</v>
      </c>
      <c r="C76" s="6" t="s">
        <v>17</v>
      </c>
      <c r="D76" s="6">
        <v>10</v>
      </c>
      <c r="E76" s="6" t="s">
        <v>74</v>
      </c>
      <c r="F76" s="6" t="s">
        <v>192</v>
      </c>
      <c r="G76" s="8">
        <v>80000</v>
      </c>
      <c r="H76" s="9">
        <v>5.0000000000000001E-3</v>
      </c>
      <c r="I76" s="4"/>
      <c r="J76" s="4" t="s">
        <v>96</v>
      </c>
      <c r="K76" s="4"/>
      <c r="L76" s="4"/>
    </row>
    <row r="77" spans="1:13" x14ac:dyDescent="0.2">
      <c r="A77" s="10" t="s">
        <v>71</v>
      </c>
      <c r="B77" s="5" t="s">
        <v>5</v>
      </c>
      <c r="C77" s="6" t="s">
        <v>39</v>
      </c>
      <c r="D77" s="6">
        <v>45</v>
      </c>
      <c r="E77" s="6" t="s">
        <v>193</v>
      </c>
      <c r="F77" s="6" t="s">
        <v>194</v>
      </c>
      <c r="G77" s="8">
        <v>50000</v>
      </c>
      <c r="H77" s="9">
        <v>0.05</v>
      </c>
      <c r="I77" s="4"/>
      <c r="J77" s="4"/>
      <c r="K77" s="4" t="s">
        <v>96</v>
      </c>
      <c r="L77" s="4"/>
    </row>
    <row r="78" spans="1:13" x14ac:dyDescent="0.2">
      <c r="A78" s="10" t="s">
        <v>75</v>
      </c>
      <c r="B78" s="5" t="s">
        <v>76</v>
      </c>
      <c r="C78" s="6" t="s">
        <v>17</v>
      </c>
      <c r="D78" s="6">
        <v>46</v>
      </c>
      <c r="E78" s="6" t="s">
        <v>77</v>
      </c>
      <c r="F78" s="6" t="s">
        <v>195</v>
      </c>
      <c r="G78" s="8">
        <v>150000</v>
      </c>
      <c r="H78" s="9" t="s">
        <v>97</v>
      </c>
      <c r="I78" s="4"/>
      <c r="J78" s="4" t="s">
        <v>96</v>
      </c>
      <c r="K78" s="4"/>
      <c r="L78" s="4"/>
    </row>
    <row r="79" spans="1:13" x14ac:dyDescent="0.2">
      <c r="A79" s="10" t="s">
        <v>75</v>
      </c>
      <c r="B79" s="5" t="s">
        <v>76</v>
      </c>
      <c r="C79" s="6" t="s">
        <v>28</v>
      </c>
      <c r="D79" s="6">
        <v>4</v>
      </c>
      <c r="E79" s="6" t="s">
        <v>78</v>
      </c>
      <c r="F79" s="6" t="s">
        <v>196</v>
      </c>
      <c r="G79" s="8">
        <v>150000</v>
      </c>
      <c r="H79" s="9" t="s">
        <v>97</v>
      </c>
      <c r="I79" s="4"/>
      <c r="J79" s="4" t="s">
        <v>96</v>
      </c>
      <c r="K79" s="4"/>
      <c r="L79" s="4"/>
    </row>
    <row r="80" spans="1:13" x14ac:dyDescent="0.2">
      <c r="A80" s="10" t="s">
        <v>75</v>
      </c>
      <c r="B80" s="5" t="s">
        <v>76</v>
      </c>
      <c r="C80" s="6" t="s">
        <v>17</v>
      </c>
      <c r="D80" s="6">
        <v>9</v>
      </c>
      <c r="E80" s="6" t="s">
        <v>79</v>
      </c>
      <c r="F80" s="6" t="s">
        <v>197</v>
      </c>
      <c r="G80" s="8">
        <v>110000</v>
      </c>
      <c r="H80" s="9" t="s">
        <v>97</v>
      </c>
      <c r="I80" s="4"/>
      <c r="J80" s="4" t="s">
        <v>96</v>
      </c>
      <c r="K80" s="4"/>
      <c r="L80" s="4"/>
    </row>
    <row r="81" spans="1:12" x14ac:dyDescent="0.2">
      <c r="A81" s="10" t="s">
        <v>75</v>
      </c>
      <c r="B81" s="5" t="s">
        <v>76</v>
      </c>
      <c r="C81" s="6" t="s">
        <v>17</v>
      </c>
      <c r="D81" s="6">
        <v>22</v>
      </c>
      <c r="E81" s="6" t="s">
        <v>80</v>
      </c>
      <c r="F81" s="6" t="s">
        <v>198</v>
      </c>
      <c r="G81" s="8">
        <v>140000</v>
      </c>
      <c r="H81" s="9" t="s">
        <v>97</v>
      </c>
      <c r="I81" s="4"/>
      <c r="J81" s="4" t="s">
        <v>96</v>
      </c>
      <c r="K81" s="4"/>
      <c r="L81" s="4"/>
    </row>
    <row r="82" spans="1:12" x14ac:dyDescent="0.2">
      <c r="A82" s="10" t="s">
        <v>75</v>
      </c>
      <c r="B82" s="5" t="s">
        <v>76</v>
      </c>
      <c r="C82" s="6" t="s">
        <v>2</v>
      </c>
      <c r="D82" s="6">
        <v>4</v>
      </c>
      <c r="E82" s="6" t="s">
        <v>81</v>
      </c>
      <c r="F82" s="6" t="s">
        <v>199</v>
      </c>
      <c r="G82" s="8">
        <v>140000</v>
      </c>
      <c r="H82" s="9">
        <v>0.06</v>
      </c>
      <c r="I82" s="4"/>
      <c r="J82" s="4" t="s">
        <v>96</v>
      </c>
      <c r="K82" s="4"/>
      <c r="L82" s="4"/>
    </row>
    <row r="83" spans="1:12" x14ac:dyDescent="0.2">
      <c r="A83" s="10" t="s">
        <v>82</v>
      </c>
      <c r="B83" s="5" t="s">
        <v>50</v>
      </c>
      <c r="C83" s="6" t="s">
        <v>2</v>
      </c>
      <c r="D83" s="6">
        <v>23</v>
      </c>
      <c r="E83" s="6" t="s">
        <v>200</v>
      </c>
      <c r="F83" s="6" t="s">
        <v>201</v>
      </c>
      <c r="G83" s="8">
        <v>80000</v>
      </c>
      <c r="H83" s="9">
        <v>0.06</v>
      </c>
      <c r="I83" s="4"/>
      <c r="J83" s="4"/>
      <c r="K83" s="4" t="s">
        <v>96</v>
      </c>
      <c r="L83" s="4"/>
    </row>
    <row r="84" spans="1:12" x14ac:dyDescent="0.2">
      <c r="A84" s="10" t="s">
        <v>82</v>
      </c>
      <c r="B84" s="5" t="s">
        <v>50</v>
      </c>
      <c r="C84" s="6" t="s">
        <v>2</v>
      </c>
      <c r="D84" s="6">
        <v>2</v>
      </c>
      <c r="E84" s="6" t="s">
        <v>202</v>
      </c>
      <c r="F84" s="6" t="s">
        <v>203</v>
      </c>
      <c r="G84" s="8">
        <v>50000</v>
      </c>
      <c r="H84" s="9">
        <v>0.06</v>
      </c>
      <c r="I84" s="4"/>
      <c r="J84" s="4"/>
      <c r="K84" s="4" t="s">
        <v>96</v>
      </c>
      <c r="L84" s="4"/>
    </row>
    <row r="85" spans="1:12" x14ac:dyDescent="0.2">
      <c r="A85" s="10" t="s">
        <v>83</v>
      </c>
      <c r="B85" s="6" t="s">
        <v>52</v>
      </c>
      <c r="C85" s="6" t="s">
        <v>2</v>
      </c>
      <c r="D85" s="6">
        <v>65</v>
      </c>
      <c r="E85" s="6" t="s">
        <v>84</v>
      </c>
      <c r="F85" s="6" t="s">
        <v>204</v>
      </c>
      <c r="G85" s="8">
        <v>25000</v>
      </c>
      <c r="H85" s="9">
        <v>5.1999999999999998E-2</v>
      </c>
      <c r="I85" s="4"/>
      <c r="J85" s="4"/>
      <c r="K85" s="4" t="s">
        <v>96</v>
      </c>
      <c r="L85" s="4"/>
    </row>
    <row r="86" spans="1:12" x14ac:dyDescent="0.2">
      <c r="A86" s="10" t="s">
        <v>83</v>
      </c>
      <c r="B86" s="6" t="s">
        <v>52</v>
      </c>
      <c r="C86" s="6" t="s">
        <v>17</v>
      </c>
      <c r="D86" s="6">
        <v>18</v>
      </c>
      <c r="E86" s="6" t="s">
        <v>85</v>
      </c>
      <c r="F86" s="6" t="s">
        <v>205</v>
      </c>
      <c r="G86" s="8">
        <v>40000</v>
      </c>
      <c r="H86" s="9">
        <v>0.06</v>
      </c>
      <c r="I86" s="4"/>
      <c r="J86" s="4"/>
      <c r="K86" s="4" t="s">
        <v>96</v>
      </c>
      <c r="L86" s="4"/>
    </row>
    <row r="87" spans="1:12" x14ac:dyDescent="0.2">
      <c r="A87" s="10" t="s">
        <v>132</v>
      </c>
      <c r="B87" s="6" t="s">
        <v>52</v>
      </c>
      <c r="C87" s="6" t="s">
        <v>17</v>
      </c>
      <c r="D87" s="6">
        <v>5</v>
      </c>
      <c r="E87" s="6" t="s">
        <v>156</v>
      </c>
      <c r="F87" s="6" t="s">
        <v>157</v>
      </c>
      <c r="G87" s="8">
        <v>30000</v>
      </c>
      <c r="H87" s="9">
        <v>0.06</v>
      </c>
      <c r="I87" s="4"/>
      <c r="J87" s="4"/>
      <c r="K87" s="4" t="s">
        <v>96</v>
      </c>
      <c r="L87" s="4"/>
    </row>
    <row r="88" spans="1:12" x14ac:dyDescent="0.2">
      <c r="A88" s="10" t="s">
        <v>86</v>
      </c>
      <c r="B88" s="5" t="s">
        <v>61</v>
      </c>
      <c r="C88" s="6" t="s">
        <v>28</v>
      </c>
      <c r="D88" s="6">
        <v>20</v>
      </c>
      <c r="E88" s="6" t="s">
        <v>87</v>
      </c>
      <c r="F88" s="6" t="s">
        <v>206</v>
      </c>
      <c r="G88" s="8">
        <v>140000</v>
      </c>
      <c r="H88" s="9">
        <v>0.05</v>
      </c>
      <c r="I88" s="4"/>
      <c r="J88" s="4" t="s">
        <v>96</v>
      </c>
      <c r="K88" s="4"/>
      <c r="L88" s="4"/>
    </row>
    <row r="89" spans="1:12" x14ac:dyDescent="0.2">
      <c r="A89" s="10" t="s">
        <v>86</v>
      </c>
      <c r="B89" s="5" t="s">
        <v>61</v>
      </c>
      <c r="C89" s="6" t="s">
        <v>12</v>
      </c>
      <c r="D89" s="6">
        <v>56</v>
      </c>
      <c r="E89" s="6" t="s">
        <v>88</v>
      </c>
      <c r="F89" s="6" t="s">
        <v>207</v>
      </c>
      <c r="G89" s="8">
        <v>140000</v>
      </c>
      <c r="H89" s="9">
        <v>0.05</v>
      </c>
      <c r="I89" s="4"/>
      <c r="J89" s="4" t="s">
        <v>96</v>
      </c>
      <c r="K89" s="4"/>
      <c r="L89" s="4"/>
    </row>
    <row r="90" spans="1:12" x14ac:dyDescent="0.2">
      <c r="A90" s="10" t="s">
        <v>86</v>
      </c>
      <c r="B90" s="5" t="s">
        <v>61</v>
      </c>
      <c r="C90" s="6" t="s">
        <v>234</v>
      </c>
      <c r="D90" s="6">
        <v>40</v>
      </c>
      <c r="E90" s="6" t="s">
        <v>119</v>
      </c>
      <c r="F90" s="6" t="s">
        <v>208</v>
      </c>
      <c r="G90" s="8">
        <v>120000</v>
      </c>
      <c r="H90" s="9">
        <v>0.06</v>
      </c>
      <c r="I90" s="4"/>
      <c r="J90" s="4" t="s">
        <v>96</v>
      </c>
      <c r="K90" s="4"/>
      <c r="L90" s="4"/>
    </row>
    <row r="91" spans="1:12" x14ac:dyDescent="0.2">
      <c r="A91" s="10" t="s">
        <v>86</v>
      </c>
      <c r="B91" s="5" t="s">
        <v>61</v>
      </c>
      <c r="C91" s="6" t="s">
        <v>234</v>
      </c>
      <c r="D91" s="6">
        <v>20</v>
      </c>
      <c r="E91" s="6" t="s">
        <v>265</v>
      </c>
      <c r="F91" s="6" t="s">
        <v>266</v>
      </c>
      <c r="G91" s="8">
        <v>140000</v>
      </c>
      <c r="H91" s="9">
        <v>0.06</v>
      </c>
      <c r="I91" s="4"/>
      <c r="J91" s="4" t="s">
        <v>96</v>
      </c>
      <c r="K91" s="4"/>
      <c r="L91" s="4"/>
    </row>
    <row r="92" spans="1:12" x14ac:dyDescent="0.2">
      <c r="A92" s="10" t="s">
        <v>86</v>
      </c>
      <c r="B92" s="5" t="s">
        <v>61</v>
      </c>
      <c r="C92" s="6" t="s">
        <v>235</v>
      </c>
      <c r="D92" s="6">
        <v>70</v>
      </c>
      <c r="E92" s="6" t="s">
        <v>267</v>
      </c>
      <c r="F92" s="6" t="s">
        <v>268</v>
      </c>
      <c r="G92" s="8">
        <v>140000</v>
      </c>
      <c r="H92" s="9">
        <v>0.06</v>
      </c>
      <c r="I92" s="4"/>
      <c r="J92" s="4" t="s">
        <v>96</v>
      </c>
      <c r="K92" s="4"/>
      <c r="L92" s="4"/>
    </row>
    <row r="93" spans="1:12" x14ac:dyDescent="0.2">
      <c r="A93" s="22" t="s">
        <v>211</v>
      </c>
      <c r="B93" s="5" t="s">
        <v>5</v>
      </c>
      <c r="C93" s="6" t="s">
        <v>17</v>
      </c>
      <c r="D93" s="6">
        <v>25</v>
      </c>
      <c r="E93" s="6" t="s">
        <v>89</v>
      </c>
      <c r="F93" s="6" t="s">
        <v>209</v>
      </c>
      <c r="G93" s="8">
        <v>100000</v>
      </c>
      <c r="H93" s="9">
        <v>0.06</v>
      </c>
      <c r="I93" s="4"/>
      <c r="J93" s="4"/>
      <c r="K93" s="4" t="s">
        <v>96</v>
      </c>
      <c r="L93" s="4"/>
    </row>
    <row r="94" spans="1:12" x14ac:dyDescent="0.2">
      <c r="A94" s="10" t="s">
        <v>133</v>
      </c>
      <c r="B94" s="5" t="s">
        <v>9</v>
      </c>
      <c r="C94" s="6" t="s">
        <v>6</v>
      </c>
      <c r="D94" s="6">
        <v>39</v>
      </c>
      <c r="E94" s="6" t="s">
        <v>158</v>
      </c>
      <c r="F94" s="6" t="s">
        <v>159</v>
      </c>
      <c r="G94" s="8">
        <v>80000</v>
      </c>
      <c r="H94" s="9">
        <v>0.06</v>
      </c>
      <c r="I94" s="4"/>
      <c r="J94" s="4"/>
      <c r="K94" s="4" t="s">
        <v>96</v>
      </c>
      <c r="L94" s="4"/>
    </row>
    <row r="95" spans="1:12" x14ac:dyDescent="0.2">
      <c r="A95" s="10" t="s">
        <v>133</v>
      </c>
      <c r="B95" s="5" t="s">
        <v>9</v>
      </c>
      <c r="C95" s="6" t="s">
        <v>6</v>
      </c>
      <c r="D95" s="6">
        <v>3</v>
      </c>
      <c r="E95" s="6" t="s">
        <v>158</v>
      </c>
      <c r="F95" s="6" t="s">
        <v>160</v>
      </c>
      <c r="G95" s="8">
        <v>80000</v>
      </c>
      <c r="H95" s="9">
        <v>0.06</v>
      </c>
      <c r="I95" s="4"/>
      <c r="J95" s="4"/>
      <c r="K95" s="4" t="s">
        <v>96</v>
      </c>
      <c r="L95" s="4"/>
    </row>
    <row r="101" spans="1:1" x14ac:dyDescent="0.2">
      <c r="A101" s="23" t="s">
        <v>212</v>
      </c>
    </row>
  </sheetData>
  <mergeCells count="2">
    <mergeCell ref="A1:L1"/>
    <mergeCell ref="F73:L73"/>
  </mergeCells>
  <phoneticPr fontId="4" type="noConversion"/>
  <dataValidations count="1">
    <dataValidation type="list" allowBlank="1" showInputMessage="1" showErrorMessage="1" sqref="C3:C9 C14:C95" xr:uid="{593B5AD6-7F08-6F40-808C-1FA0A550AC76}">
      <formula1>Wagon_Type</formula1>
    </dataValidation>
  </dataValidations>
  <pageMargins left="0.7" right="0.7" top="0.75" bottom="0.75" header="0.3" footer="0.3"/>
  <pageSetup paperSize="9" scale="35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C65BCE-4C74-4FEF-80DC-DE7FC43098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9B8623-1CC7-416A-AF5D-EDD9C636E50F}">
  <ds:schemaRefs>
    <ds:schemaRef ds:uri="http://www.w3.org/XML/1998/namespace"/>
    <ds:schemaRef ds:uri="http://purl.org/dc/elements/1.1/"/>
    <ds:schemaRef ds:uri="http://schemas.openxmlformats.org/package/2006/metadata/core-properties"/>
    <ds:schemaRef ds:uri="8c848d16-18da-4a66-b75f-5278d8769b40"/>
    <ds:schemaRef ds:uri="http://schemas.microsoft.com/office/2006/metadata/properties"/>
    <ds:schemaRef ds:uri="http://purl.org/dc/dcmitype/"/>
    <ds:schemaRef ds:uri="f3782e78-5c40-4ae9-a2b5-7ba216f1aa8a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E2264DB-1C8F-4842-B8B4-001B92990E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Monsorno</dc:creator>
  <cp:lastModifiedBy>Christian Rupp</cp:lastModifiedBy>
  <dcterms:created xsi:type="dcterms:W3CDTF">2024-02-08T10:05:08Z</dcterms:created>
  <dcterms:modified xsi:type="dcterms:W3CDTF">2026-02-10T12:33:49Z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  <property fmtid="{D5CDD505-2E9C-101B-9397-08002B2CF9AE}" pid="3" name="MediaServiceImageTags">
    <vt:lpwstr/>
  </property>
</Properties>
</file>